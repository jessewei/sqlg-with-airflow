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GitHub\airflow\sqlg-with-airflow\model\"/>
    </mc:Choice>
  </mc:AlternateContent>
  <xr:revisionPtr revIDLastSave="0" documentId="10_ncr:100000_{7D34BF58-C095-4894-A5E4-2D4122F3D2AA}" xr6:coauthVersionLast="31" xr6:coauthVersionMax="31" xr10:uidLastSave="{00000000-0000-0000-0000-000000000000}"/>
  <bookViews>
    <workbookView xWindow="0" yWindow="0" windowWidth="15336" windowHeight="7836" firstSheet="2" activeTab="2" xr2:uid="{00000000-000D-0000-FFFF-FFFF00000000}"/>
  </bookViews>
  <sheets>
    <sheet name="macro使用說明" sheetId="3" state="hidden" r:id="rId1"/>
    <sheet name="TblList" sheetId="12" state="hidden" r:id="rId2"/>
    <sheet name="Parameter Setting" sheetId="4" r:id="rId3"/>
    <sheet name="Table Summary" sheetId="8" r:id="rId4"/>
    <sheet name="DATAMAPPING" sheetId="7" r:id="rId5"/>
    <sheet name="Log" sheetId="6" r:id="rId6"/>
    <sheet name="ETLM_JOBSTEP" sheetId="11" state="hidden" r:id="rId7"/>
    <sheet name="REF_TABLE_DOMAIN" sheetId="10" state="hidden" r:id="rId8"/>
  </sheets>
  <externalReferences>
    <externalReference r:id="rId9"/>
  </externalReferences>
  <definedNames>
    <definedName name="_xlnm._FilterDatabase" localSheetId="4" hidden="1">DATAMAPPING!$A$2:$AK$13</definedName>
    <definedName name="_xlnm._FilterDatabase" localSheetId="5" hidden="1">Log!$A$1:$J$223</definedName>
    <definedName name="_xlnm._FilterDatabase" localSheetId="3" hidden="1">'Table Summary'!$B$2:$P$2</definedName>
    <definedName name="_xlnm._FilterDatabase" localSheetId="1" hidden="1">TblList!$A$1:$B$840</definedName>
    <definedName name="DB_ENGINE">'Parameter Setting'!$AN$2:$AN$6</definedName>
    <definedName name="DEBUG_ErrLevel">'Parameter Setting'!$AI$2:$AI$7</definedName>
    <definedName name="DEBUG_LogLevel">'Parameter Setting'!$AE$2:$AE$10</definedName>
    <definedName name="DEBUG_UNITTEST">'Parameter Setting'!$AF$2:$AF$18</definedName>
    <definedName name="FMT_EXCEPTTABLE">'Parameter Setting'!$AL$2:$AL$4</definedName>
    <definedName name="FMT_TEMPTABLE">'Parameter Setting'!$AM$2:$AM$3</definedName>
    <definedName name="RunMode">'Parameter Setting'!$AK$2:$AK$7</definedName>
    <definedName name="SQLGEN_Version">'Parameter Setting'!$AJ$2:$AJ$7</definedName>
    <definedName name="Z_559FE521_F5CA_43FA_AB25_530ECC99DE8B_.wvu.FilterData" localSheetId="3" hidden="1">'Table Summary'!$B$2:$O$2</definedName>
    <definedName name="Z_72A44400_C915_4C61_B04D_7F4C9BF76AC8_.wvu.FilterData" localSheetId="3" hidden="1">'Table Summary'!$B$2:$O$2</definedName>
    <definedName name="Z_E964CB39_1B64_4D62_9EF2_D1DB76D0CAA6_.wvu.FilterData" localSheetId="3" hidden="1">'Table Summary'!$B$2:$O$2</definedName>
    <definedName name="Z_E9B6F5A0_4F90_4216_BE27_69E7931CD98C_.wvu.FilterData" localSheetId="3" hidden="1">'Table Summary'!$B$2:$O$2</definedName>
  </definedNames>
  <calcPr calcId="179017"/>
</workbook>
</file>

<file path=xl/calcChain.xml><?xml version="1.0" encoding="utf-8"?>
<calcChain xmlns="http://schemas.openxmlformats.org/spreadsheetml/2006/main">
  <c r="M4" i="7" l="1"/>
  <c r="M5" i="7" s="1"/>
  <c r="M6" i="7" s="1"/>
  <c r="A17" i="7"/>
  <c r="A18" i="7" s="1"/>
  <c r="A19" i="7" s="1"/>
  <c r="A20" i="7" s="1"/>
  <c r="A12" i="7"/>
  <c r="A13" i="7" s="1"/>
  <c r="A14" i="7" s="1"/>
  <c r="A15" i="7" s="1"/>
  <c r="A9" i="7"/>
  <c r="A10" i="7" s="1"/>
  <c r="A4" i="7"/>
  <c r="A5" i="7" s="1"/>
  <c r="A6" i="7" s="1"/>
  <c r="A7" i="7" s="1"/>
  <c r="I10" i="7"/>
  <c r="I7" i="7"/>
  <c r="M9" i="7" l="1"/>
  <c r="M10" i="7" s="1"/>
  <c r="M12" i="7" s="1"/>
  <c r="M13" i="7" s="1"/>
  <c r="M14" i="7" s="1"/>
  <c r="M15" i="7" s="1"/>
  <c r="M17" i="7" s="1"/>
  <c r="M18" i="7" s="1"/>
  <c r="M19" i="7" s="1"/>
  <c r="M20" i="7" s="1"/>
  <c r="M7" i="7"/>
  <c r="J3" i="8"/>
  <c r="J5" i="8" l="1"/>
  <c r="J6" i="8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2" i="12"/>
  <c r="L4" i="7" l="1"/>
  <c r="L5" i="7" s="1"/>
  <c r="L6" i="7" s="1"/>
  <c r="L9" i="7" l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7" i="7"/>
  <c r="J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  <r>
          <rPr>
            <sz val="9"/>
            <color indexed="81"/>
            <rFont val="Tahoma"/>
            <family val="2"/>
          </rPr>
          <t>REF_TABLE_DOAMIN</t>
        </r>
        <r>
          <rPr>
            <sz val="9"/>
            <color indexed="81"/>
            <rFont val="細明體"/>
            <family val="3"/>
            <charset val="136"/>
          </rPr>
          <t xml:space="preserve">中
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: Stored Procedure
</t>
        </r>
        <r>
          <rPr>
            <b/>
            <sz val="9"/>
            <color indexed="81"/>
            <rFont val="Tahoma"/>
            <family val="2"/>
          </rPr>
          <t>J</t>
        </r>
        <r>
          <rPr>
            <sz val="9"/>
            <color indexed="81"/>
            <rFont val="Tahoma"/>
            <family val="2"/>
          </rPr>
          <t>: Job Flow for ETL manager
E: External Table
F: External Table without TP1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sharedStrings.xml><?xml version="1.0" encoding="utf-8"?>
<sst xmlns="http://schemas.openxmlformats.org/spreadsheetml/2006/main" count="2475" uniqueCount="1760">
  <si>
    <t>#</t>
    <phoneticPr fontId="5" type="noConversion"/>
  </si>
  <si>
    <t>Marco Name</t>
    <phoneticPr fontId="5" type="noConversion"/>
  </si>
  <si>
    <t>執行條件(輸入參數)</t>
    <phoneticPr fontId="5" type="noConversion"/>
  </si>
  <si>
    <t>前置步驟</t>
    <phoneticPr fontId="5" type="noConversion"/>
  </si>
  <si>
    <t>檔案產出位置</t>
    <phoneticPr fontId="5" type="noConversion"/>
  </si>
  <si>
    <t>Description</t>
    <phoneticPr fontId="5" type="noConversion"/>
  </si>
  <si>
    <t>Gen_DW_Script_by_PDM_Table_Menu_Netezza</t>
    <phoneticPr fontId="5" type="noConversion"/>
  </si>
  <si>
    <t>n/a</t>
    <phoneticPr fontId="5" type="noConversion"/>
  </si>
  <si>
    <t>1.DATAMAPPING 完成
2.TransformationPlan 完成</t>
    <phoneticPr fontId="5" type="noConversion"/>
  </si>
  <si>
    <t>參照 "Parameter Setting" 「程式輸出路徑」(此巨集程式會在「程式輸出路徑」後，另建名為 "DW" 的子目錄，並按 PDM table name，建立目錄，輸出相關程式檔</t>
    <phoneticPr fontId="6" type="noConversion"/>
  </si>
  <si>
    <t>1. Generate DDL &amp; SQL scripts for DW</t>
    <phoneticPr fontId="5" type="noConversion"/>
  </si>
  <si>
    <t>click_Gen_DW_Script_by_All_Netezza</t>
    <phoneticPr fontId="6" type="noConversion"/>
  </si>
  <si>
    <t>target scehma</t>
    <phoneticPr fontId="5" type="noConversion"/>
  </si>
  <si>
    <t>Gen_dw_pgm_list</t>
    <phoneticPr fontId="6" type="noConversion"/>
  </si>
  <si>
    <t>"DW PGM List" sheet</t>
    <phoneticPr fontId="6" type="noConversion"/>
  </si>
  <si>
    <t>產生 DW 所需程式清單</t>
    <phoneticPr fontId="6" type="noConversion"/>
  </si>
  <si>
    <t>Gen_DW_DQC_Script_by_ALL</t>
    <phoneticPr fontId="6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</si>
  <si>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6" type="noConversion"/>
  </si>
  <si>
    <t>產生 data quality check SQL 程式檔</t>
    <phoneticPr fontId="6" type="noConversion"/>
  </si>
  <si>
    <t>Chk_Tb_Dep</t>
    <phoneticPr fontId="6" type="noConversion"/>
  </si>
  <si>
    <t>Parameter Name</t>
    <phoneticPr fontId="6" type="noConversion"/>
  </si>
  <si>
    <t>Parameter Value</t>
    <phoneticPr fontId="6" type="noConversion"/>
  </si>
  <si>
    <t>Comment</t>
    <phoneticPr fontId="6" type="noConversion"/>
  </si>
  <si>
    <t>Table List</t>
    <phoneticPr fontId="6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</si>
  <si>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6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</si>
  <si>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6" type="noConversion"/>
  </si>
  <si>
    <r>
      <t>F</t>
    </r>
    <r>
      <rPr>
        <sz val="11"/>
        <color theme="1"/>
        <rFont val="微軟正黑體"/>
        <family val="2"/>
        <charset val="136"/>
        <scheme val="minor"/>
      </rPr>
      <t>ail</t>
    </r>
    <phoneticPr fontId="6" type="noConversion"/>
  </si>
  <si>
    <t>Code</t>
    <phoneticPr fontId="6" type="noConversion"/>
  </si>
  <si>
    <t>Scope</t>
    <phoneticPr fontId="6" type="noConversion"/>
  </si>
  <si>
    <t>Status</t>
    <phoneticPr fontId="6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</si>
  <si>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</si>
  <si>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</si>
  <si>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</si>
  <si>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</si>
  <si>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</si>
  <si>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</si>
  <si>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</si>
  <si>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6" type="noConversion"/>
  </si>
  <si>
    <t>內部變數名稱</t>
  </si>
  <si>
    <t>說明</t>
  </si>
  <si>
    <t>格式</t>
  </si>
  <si>
    <t>SQLG_PROFILE</t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</si>
  <si>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</si>
  <si>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</si>
  <si>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</si>
  <si>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</si>
  <si>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</si>
  <si>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</si>
  <si>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</si>
  <si>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6" type="noConversion"/>
  </si>
  <si>
    <t>{{START.DT}}</t>
  </si>
  <si>
    <t>資料起日(DATE)</t>
  </si>
  <si>
    <t>YYYY-MM-DD</t>
  </si>
  <si>
    <t>SQLG_VERSION</t>
  </si>
  <si>
    <t>LOG_SYS</t>
  </si>
  <si>
    <t>Compact SQL for test</t>
  </si>
  <si>
    <t xml:space="preserve">C_ERR_PROMPT </t>
  </si>
  <si>
    <t>2. Gen SQL by list</t>
  </si>
  <si>
    <t>{TBL_NAME}_{TEMPID}_EXCEPT</t>
  </si>
  <si>
    <t>{TEMPID}_{TBL_NAME}</t>
  </si>
  <si>
    <t>DB2</t>
    <phoneticPr fontId="6" type="noConversion"/>
  </si>
  <si>
    <t>{{START.DT.CHAR}}</t>
  </si>
  <si>
    <t>資料起日(CHAR)</t>
  </si>
  <si>
    <t>YYYYMMDD</t>
  </si>
  <si>
    <t>User</t>
  </si>
  <si>
    <t>LOG_ERROR</t>
  </si>
  <si>
    <t>UT_DEBUG_ON</t>
  </si>
  <si>
    <t xml:space="preserve">C_ERR_END </t>
  </si>
  <si>
    <t>3. Gen SQL all</t>
  </si>
  <si>
    <t>SQLSERVER</t>
    <phoneticPr fontId="6" type="noConversion"/>
  </si>
  <si>
    <t>{{END.DT}}</t>
  </si>
  <si>
    <t>資料迄日(DATE)</t>
  </si>
  <si>
    <t>LOG_TRACE</t>
  </si>
  <si>
    <t>UT_EXEC_DDL</t>
  </si>
  <si>
    <t>Exec DDL only</t>
  </si>
  <si>
    <t xml:space="preserve">C_ERR_STOP </t>
  </si>
  <si>
    <t>ORACLE</t>
    <phoneticPr fontId="6" type="noConversion"/>
  </si>
  <si>
    <t>{{END.DT.CHAR}}</t>
  </si>
  <si>
    <t>資料迄日(CHAR)</t>
  </si>
  <si>
    <t>DEBUG_UNITTEST</t>
    <phoneticPr fontId="6" type="noConversion"/>
  </si>
  <si>
    <t>LOG_DEBUG</t>
  </si>
  <si>
    <t>UT_EXEC_SQL</t>
  </si>
  <si>
    <t>Exec SQL only</t>
  </si>
  <si>
    <t>5. Gen DQC all</t>
  </si>
  <si>
    <t xml:space="preserve">{{MN.BEG.DT}} </t>
    <phoneticPr fontId="6" type="noConversion"/>
  </si>
  <si>
    <t>資料當月1號(DATE)</t>
  </si>
  <si>
    <t>YYYY-MM-01</t>
  </si>
  <si>
    <t>DEBUG_UT_VAR</t>
    <phoneticPr fontId="6" type="noConversion"/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</si>
  <si>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</si>
  <si>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</si>
  <si>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</si>
  <si>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</si>
  <si>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</si>
  <si>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</si>
  <si>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</si>
  <si>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UT_EXEC_DDLnSQL</t>
  </si>
  <si>
    <t>Exec SQL/DDL only</t>
  </si>
  <si>
    <t xml:space="preserve">{{MN.END.DT}} </t>
  </si>
  <si>
    <t>資料當月月底日(DATE)</t>
  </si>
  <si>
    <t>{{START.DT}}=CURRENT_DATE!{{START.DT.CHAR}}=CURRENT_DATE</t>
  </si>
  <si>
    <t>UT_EXEC_SQLnQA</t>
  </si>
  <si>
    <t>Exec SQL/QA only</t>
  </si>
  <si>
    <t>UT_EXEC_ALL</t>
  </si>
  <si>
    <t>Exec All</t>
  </si>
  <si>
    <t xml:space="preserve">{{LST.BZ.DT}} </t>
  </si>
  <si>
    <t>資料日上一營業日(DATE)</t>
  </si>
  <si>
    <t>UT_EXEC_SQL_PERIOD</t>
    <phoneticPr fontId="6" type="noConversion"/>
  </si>
  <si>
    <t>Exec SQL in period</t>
    <phoneticPr fontId="6" type="noConversion"/>
  </si>
  <si>
    <t xml:space="preserve">{{LST.BZ.DT.CHAR}} </t>
  </si>
  <si>
    <t>資料日上一營業日(CHAR)</t>
  </si>
  <si>
    <t>C:\Users\IBM_ADMIN\Desktop\excel-addin\QA\DW\</t>
  </si>
  <si>
    <t>UT_EXEC_SQL_PREEMPTIVE</t>
    <phoneticPr fontId="6" type="noConversion"/>
  </si>
  <si>
    <t>Exec SQL in Pre-emptive mode</t>
    <phoneticPr fontId="6" type="noConversion"/>
  </si>
  <si>
    <t xml:space="preserve">{{NXT.BZ.DT}} </t>
  </si>
  <si>
    <t>資料日下一營業日(DATE)</t>
  </si>
  <si>
    <t>{{NXT.BZ.DT.CHAR}}</t>
  </si>
  <si>
    <t>資料日下一營業日(CHAR)</t>
  </si>
  <si>
    <t>Skip header</t>
  </si>
  <si>
    <t>{{MN.BEG.BZ.DT}}</t>
  </si>
  <si>
    <t>資料當月第一個營業日(DATE)</t>
  </si>
  <si>
    <t>{{MN.BEG.BZ.DT.CHAR}}</t>
  </si>
  <si>
    <t>資料當月第一個營業日(CHAR)</t>
  </si>
  <si>
    <t>{{MN.LST.BZ.DT}}</t>
  </si>
  <si>
    <t>資料當月月底營業日(DATE)</t>
  </si>
  <si>
    <t>192.168.2.107</t>
  </si>
  <si>
    <t>{{MN.LST.BZ.DT.CHAR}}</t>
  </si>
  <si>
    <t>資料當月月底營業日(CHAR)</t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</si>
  <si>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</si>
  <si>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{{CURRENT.DATE}}</t>
  </si>
  <si>
    <t>目前執行日期</t>
  </si>
  <si>
    <t>{{CURRENT.DATE.CHAR}}</t>
  </si>
  <si>
    <t>目前執行日期(CHAR)</t>
  </si>
  <si>
    <t>{{CURRENT.MONTH}}</t>
  </si>
  <si>
    <t>目前執行月份</t>
  </si>
  <si>
    <t>{{CURRENT.MONTH.CHAR}}</t>
  </si>
  <si>
    <t>目前執行月份(CHAR)</t>
  </si>
  <si>
    <t>{{CURRENT.YEAR}}</t>
  </si>
  <si>
    <t>目前執行年　</t>
  </si>
  <si>
    <t>YYYY　</t>
  </si>
  <si>
    <t xml:space="preserve">SQL preview </t>
  </si>
  <si>
    <t>String</t>
  </si>
  <si>
    <t>System</t>
  </si>
  <si>
    <t>odsGenScriptRun</t>
  </si>
  <si>
    <t>Program</t>
  </si>
  <si>
    <t>SQLEXT</t>
  </si>
  <si>
    <t>Project</t>
  </si>
  <si>
    <t>TRUNCATE TABLE {SCHEMA_QUAL}{TBL_ID}</t>
  </si>
  <si>
    <t>FMT_SQL_DROP</t>
  </si>
  <si>
    <t>SQLFormat</t>
  </si>
  <si>
    <t>Released</t>
  </si>
  <si>
    <t>DELIM ',' NULLVALUE ''</t>
  </si>
  <si>
    <t>Table Summary</t>
  </si>
  <si>
    <t>DATAMAPPING</t>
  </si>
  <si>
    <t>Data Inventory Detail</t>
  </si>
  <si>
    <t>DATAMAPPING(WORKAREA)</t>
  </si>
  <si>
    <t>REF_TABLE_DOMAIN</t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</si>
  <si>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</si>
  <si>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</si>
  <si>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</si>
  <si>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</si>
  <si>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Transformation</t>
    <phoneticPr fontId="6" type="noConversion"/>
  </si>
  <si>
    <t>Main Source (MA)</t>
    <phoneticPr fontId="6" type="noConversion"/>
  </si>
  <si>
    <t>DW_DQC Check</t>
    <phoneticPr fontId="6" type="noConversion"/>
  </si>
  <si>
    <t xml:space="preserve">1.
PDM Table Name </t>
    <phoneticPr fontId="6" type="noConversion"/>
  </si>
  <si>
    <t>2.
PDM Column Name</t>
    <phoneticPr fontId="6" type="noConversion"/>
  </si>
  <si>
    <t>3.
PK</t>
    <phoneticPr fontId="5" type="noConversion"/>
  </si>
  <si>
    <t>4.
Union</t>
    <phoneticPr fontId="6" type="noConversion"/>
  </si>
  <si>
    <t>5.
Data Type</t>
    <phoneticPr fontId="5" type="noConversion"/>
  </si>
  <si>
    <t>6.
Chinese Description</t>
    <phoneticPr fontId="6" type="noConversion"/>
  </si>
  <si>
    <t>7.
Remark</t>
    <phoneticPr fontId="5" type="noConversion"/>
  </si>
  <si>
    <t>8.
Conversion Rules</t>
    <phoneticPr fontId="5" type="noConversion"/>
  </si>
  <si>
    <t>10.
Reference Table Name</t>
    <phoneticPr fontId="5" type="noConversion"/>
  </si>
  <si>
    <t>11.
Reference Column Name</t>
    <phoneticPr fontId="6" type="noConversion"/>
  </si>
  <si>
    <t>12.
Main Source(MA) DB Name</t>
    <phoneticPr fontId="6" type="noConversion"/>
  </si>
  <si>
    <t>13.
Main Source (MA) Table Name</t>
    <phoneticPr fontId="6" type="noConversion"/>
  </si>
  <si>
    <t>14.
Main Source (MA) Column Name</t>
    <phoneticPr fontId="5" type="noConversion"/>
  </si>
  <si>
    <t>15.
 Data Type</t>
    <phoneticPr fontId="5" type="noConversion"/>
  </si>
  <si>
    <t>16.
Chinese Description</t>
    <phoneticPr fontId="5" type="noConversion"/>
  </si>
  <si>
    <t>17.
Remark</t>
    <phoneticPr fontId="5" type="noConversion"/>
  </si>
  <si>
    <t>18
Reference Table Name</t>
    <phoneticPr fontId="5" type="noConversion"/>
  </si>
  <si>
    <t>19
Reference Column Name</t>
    <phoneticPr fontId="5" type="noConversion"/>
  </si>
  <si>
    <t>20
Reference  Condition</t>
    <phoneticPr fontId="5" type="noConversion"/>
  </si>
  <si>
    <t>21
Reference  Severity Level</t>
    <phoneticPr fontId="5" type="noConversion"/>
  </si>
  <si>
    <t>22
Range Check</t>
    <phoneticPr fontId="6" type="noConversion"/>
  </si>
  <si>
    <t>22
Null Check</t>
    <phoneticPr fontId="6" type="noConversion"/>
  </si>
  <si>
    <t>23
Sum Check Table Name</t>
    <phoneticPr fontId="5" type="noConversion"/>
  </si>
  <si>
    <t>24
Sum Check Column Name</t>
    <phoneticPr fontId="5" type="noConversion"/>
  </si>
  <si>
    <t>25
Sum Check Condition</t>
    <phoneticPr fontId="5" type="noConversion"/>
  </si>
  <si>
    <t>26
Result Set Limitation</t>
    <phoneticPr fontId="6" type="noConversion"/>
  </si>
  <si>
    <t>PDM Transformation Info</t>
    <phoneticPr fontId="6" type="noConversion"/>
  </si>
  <si>
    <t>Related Monthly Table Info</t>
    <phoneticPr fontId="6" type="noConversion"/>
  </si>
  <si>
    <t>Source</t>
    <phoneticPr fontId="6" type="noConversion"/>
  </si>
  <si>
    <t>Mapping Owner</t>
    <phoneticPr fontId="5" type="noConversion"/>
  </si>
  <si>
    <t>1. DB Name</t>
    <phoneticPr fontId="5" type="noConversion"/>
  </si>
  <si>
    <t>2. PDM Table Name</t>
    <phoneticPr fontId="5" type="noConversion"/>
  </si>
  <si>
    <t>3. Chinese Desc</t>
    <phoneticPr fontId="5" type="noConversion"/>
  </si>
  <si>
    <t>4. Append Delete Columns</t>
    <phoneticPr fontId="5" type="noConversion"/>
  </si>
  <si>
    <t>5. Extraction Method</t>
    <phoneticPr fontId="5" type="noConversion"/>
  </si>
  <si>
    <t>8. Has DWH Table</t>
    <phoneticPr fontId="5" type="noConversion"/>
  </si>
  <si>
    <t>9. DWH Table Date Column Name</t>
    <phoneticPr fontId="6" type="noConversion"/>
  </si>
  <si>
    <t>10. Source File Name</t>
    <phoneticPr fontId="5" type="noConversion"/>
  </si>
  <si>
    <t>11. Source File Description</t>
    <phoneticPr fontId="5" type="noConversion"/>
  </si>
  <si>
    <t>12. Include InitLoad</t>
    <phoneticPr fontId="5" type="noConversion"/>
  </si>
  <si>
    <t>13. Programer</t>
    <phoneticPr fontId="5" type="noConversion"/>
  </si>
  <si>
    <t>14. Scheduling (Y/N/#)</t>
    <phoneticPr fontId="5" type="noConversion"/>
  </si>
  <si>
    <t>Remark</t>
    <phoneticPr fontId="5" type="noConversion"/>
  </si>
  <si>
    <t>T</t>
  </si>
  <si>
    <t>D</t>
  </si>
  <si>
    <t xml:space="preserve">DW Table Name </t>
    <phoneticPr fontId="5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</si>
  <si>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</si>
  <si>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</si>
  <si>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</si>
  <si>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</si>
  <si>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</si>
  <si>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</si>
  <si>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</si>
  <si>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</si>
  <si>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</si>
  <si>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PGM_PATH</t>
  </si>
  <si>
    <t>CONN_NAME</t>
  </si>
  <si>
    <t>DB_PARMS</t>
  </si>
  <si>
    <t>JS_PARMS</t>
  </si>
  <si>
    <t>JOB_STEP_DESC</t>
  </si>
  <si>
    <t>c:\temp</t>
    <phoneticPr fontId="2" type="noConversion"/>
  </si>
  <si>
    <t>EXEC {SQLCMN_QUAL}SP_DROP_IF_EXISTS '{SCHEMA}', '{TBL_ID}'</t>
  </si>
  <si>
    <t>FMT_ODSNAME</t>
  </si>
  <si>
    <t>Output</t>
    <phoneticPr fontId="6" type="noConversion"/>
  </si>
  <si>
    <t>Released</t>
    <phoneticPr fontId="6" type="noConversion"/>
  </si>
  <si>
    <t>DIR_OUTPUT</t>
  </si>
  <si>
    <t>ETL program output directory base</t>
    <phoneticPr fontId="6" type="noConversion"/>
  </si>
  <si>
    <t>DIR_OUTPUT_DW</t>
    <phoneticPr fontId="6" type="noConversion"/>
  </si>
  <si>
    <t>ETL program output directory base for Stage</t>
    <phoneticPr fontId="6" type="noConversion"/>
  </si>
  <si>
    <t>DIR_SOURCE</t>
  </si>
  <si>
    <t>ETL runtime dir: Source</t>
    <phoneticPr fontId="6" type="noConversion"/>
  </si>
  <si>
    <t>DIR_TEMP</t>
    <phoneticPr fontId="6" type="noConversion"/>
  </si>
  <si>
    <t>ETL runtime dir: Temporary</t>
    <phoneticPr fontId="6" type="noConversion"/>
  </si>
  <si>
    <t>DIR_MSG</t>
  </si>
  <si>
    <t>ETL runtime dir: Message</t>
    <phoneticPr fontId="6" type="noConversion"/>
  </si>
  <si>
    <t>DIR_PGM</t>
    <phoneticPr fontId="6" type="noConversion"/>
  </si>
  <si>
    <t>Integer: 1~127</t>
    <phoneticPr fontId="6" type="noConversion"/>
  </si>
  <si>
    <t>3, LOG_SYS + LOG_ERROR</t>
    <phoneticPr fontId="6" type="noConversion"/>
  </si>
  <si>
    <t>LOG</t>
    <phoneticPr fontId="6" type="noConversion"/>
  </si>
  <si>
    <t>Log auto clear every run , aka DEBUG_LogClear</t>
    <phoneticPr fontId="6" type="noConversion"/>
  </si>
  <si>
    <t>Boolean</t>
    <phoneticPr fontId="6" type="noConversion"/>
  </si>
  <si>
    <t>Length of cicular log</t>
    <phoneticPr fontId="6" type="noConversion"/>
  </si>
  <si>
    <t>Integer</t>
    <phoneticPr fontId="6" type="noConversion"/>
  </si>
  <si>
    <t>LOG_WS</t>
    <phoneticPr fontId="6" type="noConversion"/>
  </si>
  <si>
    <t>Worksheet name for Log</t>
    <phoneticPr fontId="6" type="noConversion"/>
  </si>
  <si>
    <t>Log</t>
    <phoneticPr fontId="6" type="noConversion"/>
  </si>
  <si>
    <t>String</t>
    <phoneticPr fontId="6" type="noConversion"/>
  </si>
  <si>
    <t>Unit test mode for SQL generator</t>
    <phoneticPr fontId="6" type="noConversion"/>
  </si>
  <si>
    <t>0(False), -1(True), 1~128</t>
    <phoneticPr fontId="6" type="noConversion"/>
  </si>
  <si>
    <t>Debug</t>
    <phoneticPr fontId="6" type="noConversion"/>
  </si>
  <si>
    <t>DEBUG_QW_REPLACE</t>
    <phoneticPr fontId="6" type="noConversion"/>
  </si>
  <si>
    <t>{{PRJID}}=01</t>
    <phoneticPr fontId="6" type="noConversion"/>
  </si>
  <si>
    <t>SQLFormat</t>
    <phoneticPr fontId="6" type="noConversion"/>
  </si>
  <si>
    <t>DEBUG_DRIVER</t>
    <phoneticPr fontId="6" type="noConversion"/>
  </si>
  <si>
    <t>ODBC!JDBC</t>
    <phoneticPr fontId="6" type="noConversion"/>
  </si>
  <si>
    <t>System</t>
    <phoneticPr fontId="6" type="noConversion"/>
  </si>
  <si>
    <t>DEBUG_ErrLevel</t>
    <phoneticPr fontId="6" type="noConversion"/>
  </si>
  <si>
    <t>DEBUG_RUNPERIOD</t>
    <phoneticPr fontId="6" type="noConversion"/>
  </si>
  <si>
    <t>Perodical run mode</t>
    <phoneticPr fontId="6" type="noConversion"/>
  </si>
  <si>
    <t>2014-1-1!2014-5-1!5</t>
    <phoneticPr fontId="6" type="noConversion"/>
  </si>
  <si>
    <t>""</t>
    <phoneticPr fontId="6" type="noConversion"/>
  </si>
  <si>
    <t>DEBUG_PREEMPTIVE</t>
    <phoneticPr fontId="6" type="noConversion"/>
  </si>
  <si>
    <t>_INI</t>
    <phoneticPr fontId="6" type="noConversion"/>
  </si>
  <si>
    <t>Used for SQL generator</t>
    <phoneticPr fontId="6" type="noConversion"/>
  </si>
  <si>
    <t>Netezza</t>
    <phoneticPr fontId="6" type="noConversion"/>
  </si>
  <si>
    <t>ODBC_SERVER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</si>
  <si>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</si>
  <si>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</si>
  <si>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Site</t>
    <phoneticPr fontId="6" type="noConversion"/>
  </si>
  <si>
    <t>ODBC_DSN</t>
    <phoneticPr fontId="6" type="noConversion"/>
  </si>
  <si>
    <t>NZSQL</t>
    <phoneticPr fontId="6" type="noConversion"/>
  </si>
  <si>
    <t>DW</t>
    <phoneticPr fontId="6" type="noConversion"/>
  </si>
  <si>
    <t>dwmgr</t>
    <phoneticPr fontId="6" type="noConversion"/>
  </si>
  <si>
    <t>ODBC_PASSWORD</t>
    <phoneticPr fontId="6" type="noConversion"/>
  </si>
  <si>
    <t>pwd</t>
    <phoneticPr fontId="6" type="noConversion"/>
  </si>
  <si>
    <t>ODBC_ROWS</t>
    <phoneticPr fontId="6" type="noConversion"/>
  </si>
  <si>
    <t>ODBC Tool for SQL execution, {TBL_NAME}, {PROG_NAME} used as param passing</t>
    <phoneticPr fontId="6" type="noConversion"/>
  </si>
  <si>
    <t>c:\tools\bat\nzsql1.bat  -sTbl {TBL_NAME} -sOut {PROG_NAME}.out -Conn {CONN_STR}</t>
    <phoneticPr fontId="6" type="noConversion"/>
  </si>
  <si>
    <t>Project</t>
    <phoneticPr fontId="6" type="noConversion"/>
  </si>
  <si>
    <t>ODBC_SEQEXEC</t>
    <phoneticPr fontId="6" type="noConversion"/>
  </si>
  <si>
    <t>Sequence execution SQL</t>
    <phoneticPr fontId="6" type="noConversion"/>
  </si>
  <si>
    <t>SQLG_VERSION</t>
    <phoneticPr fontId="6" type="noConversion"/>
  </si>
  <si>
    <t>SQLToolkit</t>
    <phoneticPr fontId="6" type="noConversion"/>
  </si>
  <si>
    <t>Group param as profile, set param in project ro system</t>
    <phoneticPr fontId="6" type="noConversion"/>
  </si>
  <si>
    <t>SKB 或 SQLSERVER</t>
    <phoneticPr fontId="6" type="noConversion"/>
  </si>
  <si>
    <t>WIP</t>
    <phoneticPr fontId="6" type="noConversion"/>
  </si>
  <si>
    <t>{SCHEMA}</t>
    <phoneticPr fontId="6" type="noConversion"/>
  </si>
  <si>
    <t>Depreciated</t>
    <phoneticPr fontId="6" type="noConversion"/>
  </si>
  <si>
    <t>Is DDL include target table, used for itf table import</t>
    <phoneticPr fontId="6" type="noConversion"/>
  </si>
  <si>
    <t>FMT_SQLCMN</t>
    <phoneticPr fontId="6" type="noConversion"/>
  </si>
  <si>
    <t>{SYS_NAME}_{SRC_FREQ}_{SRC_NAME}</t>
    <phoneticPr fontId="2" type="noConversion"/>
  </si>
  <si>
    <t>String: LOV</t>
    <phoneticPr fontId="6" type="noConversion"/>
  </si>
  <si>
    <t>STAGE!ODS!DW!DM!CRM</t>
    <phoneticPr fontId="6" type="noConversion"/>
  </si>
  <si>
    <t>Check table name strickly</t>
    <phoneticPr fontId="6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</si>
  <si>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6" type="noConversion"/>
  </si>
  <si>
    <t>1-Target, 2-AtSQL, 3-AtDDL</t>
    <phoneticPr fontId="6" type="noConversion"/>
  </si>
  <si>
    <t>{TBL_NAME}_INI</t>
    <phoneticPr fontId="6" type="noConversion"/>
  </si>
  <si>
    <t>Rule ID for user temp table</t>
    <phoneticPr fontId="6" type="noConversion"/>
  </si>
  <si>
    <t>PV</t>
    <phoneticPr fontId="6" type="noConversion"/>
  </si>
  <si>
    <t>V</t>
    <phoneticPr fontId="6" type="noConversion"/>
  </si>
  <si>
    <t>FMT_EXT_DDL</t>
    <phoneticPr fontId="6" type="noConversion"/>
  </si>
  <si>
    <t>External Table DDL type</t>
    <phoneticPr fontId="6" type="noConversion"/>
  </si>
  <si>
    <t>FMT_EXT_OPTION</t>
    <phoneticPr fontId="6" type="noConversion"/>
  </si>
  <si>
    <t>Data Inventory Summary</t>
    <phoneticPr fontId="6" type="noConversion"/>
  </si>
  <si>
    <t>Template</t>
    <phoneticPr fontId="6" type="noConversion"/>
  </si>
  <si>
    <t>WS_DI_DETAIL</t>
    <phoneticPr fontId="6" type="noConversion"/>
  </si>
  <si>
    <t>WS_DI_WORKAREA</t>
    <phoneticPr fontId="6" type="noConversion"/>
  </si>
  <si>
    <t>String: Windows</t>
    <phoneticPr fontId="6" type="noConversion"/>
  </si>
  <si>
    <t>Tools</t>
    <phoneticPr fontId="6" type="noConversion"/>
  </si>
  <si>
    <t>Netezza Host</t>
    <phoneticPr fontId="6" type="noConversion"/>
  </si>
  <si>
    <t>Netezza Admin Path</t>
    <phoneticPr fontId="6" type="noConversion"/>
  </si>
  <si>
    <t>9.
Condition Rules</t>
    <phoneticPr fontId="6" type="noConversion"/>
  </si>
  <si>
    <t>FMT_COLS_ODS</t>
  </si>
  <si>
    <t>FMT_COLS_STG</t>
  </si>
  <si>
    <t>UTIL_CONV</t>
  </si>
  <si>
    <t>UTIL_CONV_ENCODE</t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</si>
  <si>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</si>
  <si>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{DIR_ETLBASE}DATA\{SRC_SYSNAME}\</t>
  </si>
  <si>
    <t>{DIR_ETLBASE}MSG\{SRC_SYSNAME}\</t>
  </si>
  <si>
    <t>FMT_SNAPS_NAME</t>
  </si>
  <si>
    <t>FMT_SNAPS_ORGKEY</t>
  </si>
  <si>
    <t>FMT_SNAPS_TRANCOL</t>
  </si>
  <si>
    <t>Y;DATA_YR!M;DATA_YM!M1;DATA_YM!D;SNAP_DT!S;DATA_YM</t>
  </si>
  <si>
    <t>SQLCMD -i {{SRC_PGM}}{SRC_NAME}.sql -U {{SRC.USERID}} -P {{SRC.PASSWORD}} -S {{SRC.SERVER}} -o  {DIR_SOURCE}{SRC_FILE_NAME}.D -u -h -1 -W -d {{SRC.DB}} -s ""|"" -f i:65001</t>
  </si>
  <si>
    <t>4. Gen Symbol list</t>
    <phoneticPr fontId="6" type="noConversion"/>
  </si>
  <si>
    <t>{{DIR_PGM}}{SRC_NAME}.sql</t>
  </si>
  <si>
    <t>{PGM_FILE_NAME}</t>
  </si>
  <si>
    <t>{DAT_FILENAME}_{{END.DT.CHAR}}</t>
  </si>
  <si>
    <t>FMT_COLS_KEY</t>
  </si>
  <si>
    <t>CREATE SEQUENCE {TBL_NAME}_KEY AS BIGINT;</t>
  </si>
  <si>
    <t>{{UTIL_PATH}}\iconv.pl {{DIR_TEMP}}{DAT_FILE_NAME}.D</t>
  </si>
  <si>
    <t>{{UTIL_PATH}}\icu\bin64\uconv.exe -f {SRC_ENCODE} -t utf-8 -i --remove-signature -o {{DIR_TEMP}}{DAT_FILE_NAME}.D.utf8 {{DIR_TEMP}}{DAT_FILE_NAME}.D</t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</si>
  <si>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</si>
  <si>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WS_DI_SRCSYS</t>
  </si>
  <si>
    <t>FMT_USER_VAR</t>
  </si>
  <si>
    <t>SQLG_PROCMODE</t>
  </si>
  <si>
    <t>6. Table Type Code (T/V/P/R/ S/J/E/F)</t>
    <phoneticPr fontId="5" type="noConversion"/>
  </si>
  <si>
    <t>PDM</t>
    <phoneticPr fontId="2" type="noConversion"/>
  </si>
  <si>
    <t>PDM Base Info</t>
    <phoneticPr fontId="6" type="noConversion"/>
  </si>
  <si>
    <t>v1.0-ODS</t>
    <phoneticPr fontId="6" type="noConversion"/>
  </si>
  <si>
    <t>v1.0-DW</t>
    <phoneticPr fontId="6" type="noConversion"/>
  </si>
  <si>
    <t>{ODS_TBL_NAME}</t>
  </si>
  <si>
    <t>v1.0-DW</t>
  </si>
  <si>
    <t>{{DIR_OUTPUT}}</t>
  </si>
  <si>
    <t>{{DIR_OUTPUT}}{DW_SYSNAME}\{TBL_NAME}\</t>
  </si>
  <si>
    <t>{{DIR_OUTPUT}}{DW_SYSNAME}\{SRC_SYSNAME}\{SRC_NAME}</t>
  </si>
  <si>
    <t>{{DIR_ETLBASE}}SOURCE\</t>
  </si>
  <si>
    <t>{{DIR_ETLBASE}}DATA\</t>
  </si>
  <si>
    <t>{{DIR_ETLBASE}}MSG\</t>
  </si>
  <si>
    <t>{{DIR_ETLBASE}}PGM\{SRC_SYSNAME}\{SRC_NAME}</t>
  </si>
  <si>
    <t>7. Update Frequency
(D/B/W/M/I/Y)</t>
    <phoneticPr fontId="5" type="noConversion"/>
  </si>
  <si>
    <t>FMT_COLFUNC_TRIM</t>
  </si>
  <si>
    <t>ODS!{SRC_TYPE}!{SRC_SYSNAME}</t>
  </si>
  <si>
    <t>{DW_SYSNAME}!{SUBJECT}</t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</si>
  <si>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6" type="noConversion"/>
  </si>
  <si>
    <t>DIR_ETLBASE</t>
    <phoneticPr fontId="6" type="noConversion"/>
  </si>
  <si>
    <t>ETL program output directory base at ETL Manager</t>
    <phoneticPr fontId="6" type="noConversion"/>
  </si>
  <si>
    <t>ETL program output directory base for ODS</t>
    <phoneticPr fontId="6" type="noConversion"/>
  </si>
  <si>
    <t>DIR_OUTPUT_SRC</t>
    <phoneticPr fontId="6" type="noConversion"/>
  </si>
  <si>
    <t>{DIR_ETLBASE}SOURCE\{SRC_SYSNAME}\</t>
    <phoneticPr fontId="6" type="noConversion"/>
  </si>
  <si>
    <t>C:\IBMEDW\PGM\{SRC_SYSNAME}}</t>
    <phoneticPr fontId="6" type="noConversion"/>
  </si>
  <si>
    <t>DEBUG_PROCESS</t>
    <phoneticPr fontId="6" type="noConversion"/>
  </si>
  <si>
    <t>SQLG process for debug</t>
    <phoneticPr fontId="6" type="noConversion"/>
  </si>
  <si>
    <t>SRC!Stage!ODS!DW</t>
    <phoneticPr fontId="6" type="noConversion"/>
  </si>
  <si>
    <t>Same as FMT_DBLIST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</si>
  <si>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</si>
  <si>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6" type="noConversion"/>
  </si>
  <si>
    <t>Process model: Batch, NoTemp, Merge</t>
    <phoneticPr fontId="6" type="noConversion"/>
  </si>
  <si>
    <t>Batch</t>
    <phoneticPr fontId="6" type="noConversion"/>
  </si>
  <si>
    <t>SQL_FILE</t>
    <phoneticPr fontId="6" type="noConversion"/>
  </si>
  <si>
    <t>FMT_DDL_SKIP</t>
    <phoneticPr fontId="6" type="noConversion"/>
  </si>
  <si>
    <t>{SRC_NAME}</t>
    <phoneticPr fontId="2" type="noConversion"/>
  </si>
  <si>
    <t>FMT_SRCNAME</t>
    <phoneticPr fontId="6" type="noConversion"/>
  </si>
  <si>
    <t>{SRC_NAME}_{{START.DT.CHAR}}</t>
    <phoneticPr fontId="2" type="noConversion"/>
  </si>
  <si>
    <t>Exception Table naming rule</t>
    <phoneticPr fontId="6" type="noConversion"/>
  </si>
  <si>
    <t>Temp Table naming rule</t>
    <phoneticPr fontId="6" type="noConversion"/>
  </si>
  <si>
    <t>Temp DB naming rule</t>
    <phoneticPr fontId="6" type="noConversion"/>
  </si>
  <si>
    <t>TEMPDW</t>
    <phoneticPr fontId="6" type="noConversion"/>
  </si>
  <si>
    <t>0-Nodrop, 1-DropUserTemp, 2-DropSysTemp</t>
    <phoneticPr fontId="6" type="noConversion"/>
  </si>
  <si>
    <t>FMT_SYSTEMP_DDL</t>
    <phoneticPr fontId="6" type="noConversion"/>
  </si>
  <si>
    <t>FMT_PROG_TMP</t>
    <phoneticPr fontId="6" type="noConversion"/>
  </si>
  <si>
    <t>Program naming for TempDB process</t>
    <phoneticPr fontId="6" type="noConversion"/>
  </si>
  <si>
    <t>FMT_ID_RULE</t>
    <phoneticPr fontId="6" type="noConversion"/>
  </si>
  <si>
    <t>DATADT;DATE;CURRENT_STAMP!....</t>
    <phoneticPr fontId="6" type="noConversion"/>
  </si>
  <si>
    <t>ODS flow: Audit columns for all ods table</t>
    <phoneticPr fontId="6" type="noConversion"/>
  </si>
  <si>
    <t>ODS flow: Audit columns for all stg/ods table</t>
    <phoneticPr fontId="6" type="noConversion"/>
  </si>
  <si>
    <t>ODS SYSPK for flow group</t>
    <phoneticPr fontId="6" type="noConversion"/>
  </si>
  <si>
    <t>UTIL_LOAD_V</t>
    <phoneticPr fontId="6" type="noConversion"/>
  </si>
  <si>
    <t>BCP "SELECT * FROM srcTable" ….</t>
    <phoneticPr fontId="6" type="noConversion"/>
  </si>
  <si>
    <t>UTIL_POSTFUNC</t>
    <phoneticPr fontId="6" type="noConversion"/>
  </si>
  <si>
    <t>Description</t>
    <phoneticPr fontId="2" type="noConversion"/>
  </si>
  <si>
    <t>Example</t>
    <phoneticPr fontId="2" type="noConversion"/>
  </si>
  <si>
    <t>Domain</t>
    <phoneticPr fontId="2" type="noConversion"/>
  </si>
  <si>
    <t>Default Value</t>
    <phoneticPr fontId="2" type="noConversion"/>
  </si>
  <si>
    <t>Type</t>
    <phoneticPr fontId="2" type="noConversion"/>
  </si>
  <si>
    <t>udfField8</t>
  </si>
  <si>
    <t>udfField9</t>
  </si>
  <si>
    <t>udfField10</t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</si>
  <si>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6" type="noConversion"/>
  </si>
  <si>
    <t>udfField2</t>
    <phoneticPr fontId="6" type="noConversion"/>
  </si>
  <si>
    <t>udfField3</t>
    <phoneticPr fontId="2" type="noConversion"/>
  </si>
  <si>
    <t>udfField4</t>
  </si>
  <si>
    <t>udfField5</t>
  </si>
  <si>
    <t>udfField6</t>
  </si>
  <si>
    <t>udfField7</t>
  </si>
  <si>
    <t>DIR_OUTPUT</t>
    <phoneticPr fontId="6" type="noConversion"/>
  </si>
  <si>
    <t>Jesse</t>
    <phoneticPr fontId="6" type="noConversion"/>
  </si>
  <si>
    <t>O_CLAIM_CASE</t>
  </si>
  <si>
    <t>O_CLAIM_CURE</t>
  </si>
  <si>
    <t>O_CLAIM_INVEST_INFO</t>
  </si>
  <si>
    <t>O_CLAIM_LIAB</t>
  </si>
  <si>
    <t>O_CLAIM_PAY</t>
  </si>
  <si>
    <t>O_CLAIM_TYPE</t>
  </si>
  <si>
    <t>O_CLM_BANK_ACCOUNT</t>
  </si>
  <si>
    <t>O_CLAIM_PRODUCT</t>
  </si>
  <si>
    <t>UserDefined Flexible Field</t>
    <phoneticPr fontId="6" type="noConversion"/>
  </si>
  <si>
    <t>O_CLAIM_AUDIT_DECISION</t>
  </si>
  <si>
    <t>DEPLOY.cfg</t>
  </si>
  <si>
    <t>O_CLAIM_RISK</t>
  </si>
  <si>
    <t>INDEX::**********</t>
  </si>
  <si>
    <t>O_CLAIM_CHECKLIST</t>
  </si>
  <si>
    <t>O_CLAIM_CHECKLIST_DTL</t>
  </si>
  <si>
    <t>O_CLAIM_ADJUST</t>
  </si>
  <si>
    <t>Subject</t>
  </si>
  <si>
    <t>ExtOption</t>
  </si>
  <si>
    <t>JobStepTemplate</t>
  </si>
  <si>
    <t>JobName</t>
  </si>
  <si>
    <t>RptGroup</t>
  </si>
  <si>
    <t>JobParameter</t>
  </si>
  <si>
    <t>SQLhint</t>
  </si>
  <si>
    <t>AuditColumn</t>
  </si>
  <si>
    <t>JobCalendar</t>
  </si>
  <si>
    <t>PostDDL</t>
  </si>
  <si>
    <t>FDW_TBLNAME</t>
    <phoneticPr fontId="6" type="noConversion"/>
  </si>
  <si>
    <t>SA_TYPE</t>
    <phoneticPr fontId="6" type="noConversion"/>
  </si>
  <si>
    <t>FDW_FILETYPE</t>
    <phoneticPr fontId="6" type="noConversion"/>
  </si>
  <si>
    <t>FDW_OUTNAME</t>
    <phoneticPr fontId="6" type="noConversion"/>
  </si>
  <si>
    <t>ProcessMode</t>
    <phoneticPr fontId="6" type="noConversion"/>
  </si>
  <si>
    <t>CL_NAME</t>
    <phoneticPr fontId="6" type="noConversion"/>
  </si>
  <si>
    <t>TableName</t>
    <phoneticPr fontId="30" type="noConversion"/>
  </si>
  <si>
    <t>Flag</t>
    <phoneticPr fontId="30" type="noConversion"/>
  </si>
  <si>
    <t>SC_6640_11G</t>
  </si>
  <si>
    <t>SC_6660_11G</t>
  </si>
  <si>
    <t>CLM_0170_11G</t>
  </si>
  <si>
    <t>CLM_0170_PARAM</t>
  </si>
  <si>
    <t>CLM_0310_11G</t>
  </si>
  <si>
    <t>CLM_0320_11G</t>
  </si>
  <si>
    <t>CLM_0320_21G</t>
  </si>
  <si>
    <t>CLM_0330_11G</t>
  </si>
  <si>
    <t>CLM_0340_11G</t>
  </si>
  <si>
    <t>CLM_0350_11G</t>
  </si>
  <si>
    <t>CLM_0350_21G</t>
  </si>
  <si>
    <t>CLM_0350_PARAM</t>
  </si>
  <si>
    <t>CLM_0360_10G</t>
  </si>
  <si>
    <t>CLM_0360_11G</t>
  </si>
  <si>
    <t>CLM_0360_12G</t>
  </si>
  <si>
    <t>CLM_0360_13G</t>
  </si>
  <si>
    <t>CLM_0360_21G</t>
  </si>
  <si>
    <t>CLM_0360_PARAM</t>
  </si>
  <si>
    <t>CLM_0370_11G</t>
  </si>
  <si>
    <t>CLM_0370_21G</t>
  </si>
  <si>
    <t>CLM_0370_PARAM</t>
  </si>
  <si>
    <t>CLM_0380_11G</t>
  </si>
  <si>
    <t>CLM_0380_12G</t>
  </si>
  <si>
    <t>CLM_0380_21G</t>
  </si>
  <si>
    <t>CLM_0380_22G</t>
  </si>
  <si>
    <t>CLM_0380_31G</t>
  </si>
  <si>
    <t>CLM_0380_41G</t>
  </si>
  <si>
    <t>CLM_0390_11G</t>
  </si>
  <si>
    <t>CLM_0390_21G</t>
  </si>
  <si>
    <t>CLM_0390_31G</t>
  </si>
  <si>
    <t>CLM_0400_11G</t>
  </si>
  <si>
    <t>CLM_0400_PARAM</t>
  </si>
  <si>
    <t>CLM_0410_11G</t>
  </si>
  <si>
    <t>CLM_0410_21G</t>
  </si>
  <si>
    <t>CLM_0420_11G</t>
  </si>
  <si>
    <t>CLM_0430_11G</t>
  </si>
  <si>
    <t>CLM_0430_21G</t>
  </si>
  <si>
    <t>CLM_0430_PARAM</t>
  </si>
  <si>
    <t>CLM_0440_11G</t>
  </si>
  <si>
    <t>CLM_0440_PARAM</t>
  </si>
  <si>
    <t>CLM_0470_11G</t>
  </si>
  <si>
    <t>CLM_0470_PARAM</t>
  </si>
  <si>
    <t>CLM_0480_11G</t>
  </si>
  <si>
    <t>CLM_0490_11G</t>
  </si>
  <si>
    <t>CLM_0500_11G</t>
  </si>
  <si>
    <t>CLM_0510_11G</t>
  </si>
  <si>
    <t>CLM_0510_PARAM</t>
  </si>
  <si>
    <t>CLM_0530_11G</t>
  </si>
  <si>
    <t>CLM_0540_11G</t>
  </si>
  <si>
    <t>CLM_0540_21G</t>
  </si>
  <si>
    <t>CLM_0560_PARAM</t>
  </si>
  <si>
    <t>CLM_0561_11G</t>
  </si>
  <si>
    <t>CLM_0561_PARAM</t>
  </si>
  <si>
    <t>CLM_0570_PARAM</t>
  </si>
  <si>
    <t>CLM_0571_11G</t>
  </si>
  <si>
    <t>CLM_0571_PARAM</t>
  </si>
  <si>
    <t>CLM_0580_11G</t>
  </si>
  <si>
    <t>CLM_0580_PARAM</t>
  </si>
  <si>
    <t>CLM_JOB_PARAM</t>
  </si>
  <si>
    <t>CLM_REF_LIAB_CAT2</t>
  </si>
  <si>
    <t>CLM_REF_LIAB_MAJOR</t>
  </si>
  <si>
    <t>CLM_REF_WKDY_KPI</t>
  </si>
  <si>
    <t>CLM_REF_WKDY_TYPE</t>
  </si>
  <si>
    <t>DIM_DATA_YM</t>
  </si>
  <si>
    <t>DIM_TIME</t>
  </si>
  <si>
    <t>FIN_1010_11G_S</t>
  </si>
  <si>
    <t>INV_7010_11G</t>
  </si>
  <si>
    <t>INV_7011_11G</t>
  </si>
  <si>
    <t>INV_7070_11G</t>
  </si>
  <si>
    <t>INV_7080_11G</t>
  </si>
  <si>
    <t>INV_7180_11G</t>
  </si>
  <si>
    <t>INV_7180_11G_D</t>
  </si>
  <si>
    <t>INV_7220_11G</t>
  </si>
  <si>
    <t>O_ABROAD_OFF_DAY</t>
  </si>
  <si>
    <t>O_ACCOUNT_TYPE</t>
  </si>
  <si>
    <t>O_ACQUIRER</t>
  </si>
  <si>
    <t>O_ACQUIRER_BANK</t>
  </si>
  <si>
    <t>O_ADDRESS</t>
  </si>
  <si>
    <t>O_AGENT</t>
  </si>
  <si>
    <t>O_AGENT_GRADE</t>
  </si>
  <si>
    <t>O_AGENT_LEVEL</t>
  </si>
  <si>
    <t>O_AGENT_STATUS</t>
  </si>
  <si>
    <t>O_APPROVAL_STATUS</t>
  </si>
  <si>
    <t>O_ASSIGN_UNIT</t>
  </si>
  <si>
    <t>O_ATTRIBUTE_SPEC</t>
  </si>
  <si>
    <t>O_BANK</t>
  </si>
  <si>
    <t>O_BANK_ACCOUNT</t>
  </si>
  <si>
    <t>O_BANK_AUTH</t>
  </si>
  <si>
    <t>O_BANK_CLASS</t>
  </si>
  <si>
    <t>O_BANK_ORG</t>
  </si>
  <si>
    <t>O_BANK_TEXT</t>
  </si>
  <si>
    <t>O_BANK_TEXT_DETAIL</t>
  </si>
  <si>
    <t>O_BANK_TEXT_STATUS</t>
  </si>
  <si>
    <t>O_BANK_TYPE</t>
  </si>
  <si>
    <t>O_BILLCARD</t>
  </si>
  <si>
    <t>O_BILLING_DISPATCH_TYPE</t>
  </si>
  <si>
    <t>O_BRBD_ACCEPTANCE</t>
  </si>
  <si>
    <t>O_BRBD_ACEPT_F_CFG</t>
  </si>
  <si>
    <t>O_BUCKET_FILLING_OPTION</t>
  </si>
  <si>
    <t>O_CALLOUT_ASK</t>
  </si>
  <si>
    <t>O_CALLOUT_ASK_ITEM</t>
  </si>
  <si>
    <t>O_CALLOUT_CONFIG</t>
  </si>
  <si>
    <t>O_CALLOUT_CONFIG_TYPE</t>
  </si>
  <si>
    <t>O_CALLOUT_EXCP_ITEM</t>
  </si>
  <si>
    <t>O_CALLOUT_LEG_TYPE</t>
  </si>
  <si>
    <t>O_CALLOUT_REASON</t>
  </si>
  <si>
    <t>O_CALLOUT_RESULT_TYPE</t>
  </si>
  <si>
    <t>O_CALLOUT_TARGET_TYPE</t>
  </si>
  <si>
    <t>O_CALLOUT_TRANS</t>
  </si>
  <si>
    <t>O_CALLOUT_TYPE</t>
  </si>
  <si>
    <t>O_CAMPAIGN_MASTER</t>
  </si>
  <si>
    <t>O_CAPITAL_DISTRI_TYPE</t>
  </si>
  <si>
    <t>O_CAPITAL_DISTRIBUTE</t>
  </si>
  <si>
    <t>O_CASH</t>
  </si>
  <si>
    <t>O_CHANGE</t>
  </si>
  <si>
    <t>O_CHANNEL_ORG</t>
  </si>
  <si>
    <t>O_CHARGE_LIST</t>
  </si>
  <si>
    <t>O_CHARGE_MODE</t>
  </si>
  <si>
    <t>O_CHECKLIST</t>
  </si>
  <si>
    <t>O_CHEQUE</t>
  </si>
  <si>
    <t>O_CHEQUE_RELATION</t>
  </si>
  <si>
    <t>O_CHEQUE_RETURN_CODE</t>
  </si>
  <si>
    <t>O_CHEQUE_RETURN_LIST</t>
  </si>
  <si>
    <t>O_CHEQUE_STATUS</t>
  </si>
  <si>
    <t>O_CLAIM_INVESTIGATE</t>
  </si>
  <si>
    <t>O_CLAIM_MEET</t>
  </si>
  <si>
    <t>O_CLM_CONTRACT_PRODUCT</t>
  </si>
  <si>
    <t>O_CLOSE_FUND_MAPPING</t>
  </si>
  <si>
    <t>O_CMSN_INFO_EXTEND</t>
  </si>
  <si>
    <t>O_COMM_FACTOR_TYPE</t>
  </si>
  <si>
    <t>O_COMM_STATUS</t>
  </si>
  <si>
    <t>O_COMMISION_FACTOR</t>
  </si>
  <si>
    <t>O_COMMISION_INFO</t>
  </si>
  <si>
    <t>O_COMMISION_TOTAL</t>
  </si>
  <si>
    <t>O_COMMISION_TYPE</t>
  </si>
  <si>
    <t>O_COMMISSION</t>
  </si>
  <si>
    <t>O_COMPANY_ORGAN</t>
  </si>
  <si>
    <t>O_CONTRACT_BENE</t>
  </si>
  <si>
    <t>O_CONTRACT_BENE_CX</t>
  </si>
  <si>
    <t>O_CONTRACT_BENE_LOG</t>
  </si>
  <si>
    <t>O_CONTRACT_EXTEND</t>
  </si>
  <si>
    <t>O_CONTRACT_INVEST</t>
  </si>
  <si>
    <t>O_CONTRACT_INVEST_RT</t>
  </si>
  <si>
    <t>O_CONTRACT_MASTER</t>
  </si>
  <si>
    <t>O_CONTRACT_PRODUCT</t>
  </si>
  <si>
    <t>O_CONTRACT_PROPOSAL</t>
  </si>
  <si>
    <t>O_CREDIT_CARD_TYPE</t>
  </si>
  <si>
    <t>O_CS_APP_PROCESS</t>
  </si>
  <si>
    <t>O_CS_APP_REJECT_RCRD</t>
  </si>
  <si>
    <t>O_CS_APP_STATUS</t>
  </si>
  <si>
    <t>O_CS_APPLICATION</t>
  </si>
  <si>
    <t>O_CS_CASH</t>
  </si>
  <si>
    <t>O_CS_CASH_REFUND_REASON</t>
  </si>
  <si>
    <t>O_CS_DOCUMENT_ITEM_DEF</t>
  </si>
  <si>
    <t>O_CS_EFFECT_DATE</t>
  </si>
  <si>
    <t>O_CS_EVALUATION_ITEM</t>
  </si>
  <si>
    <t>O_CS_EVALUATION_RSLT</t>
  </si>
  <si>
    <t>O_CS_PAY_MODE</t>
  </si>
  <si>
    <t>O_CS_QUOTATION</t>
  </si>
  <si>
    <t>O_CS_QUOTATION_RSLT</t>
  </si>
  <si>
    <t>O_CS_SERVICE_PAY_ITEM</t>
  </si>
  <si>
    <t>O_CS_SERVICE_PAY_TYPE</t>
  </si>
  <si>
    <t>O_CS_VIP_INT_FREE_LN</t>
  </si>
  <si>
    <t>O_DELIVER_TYPE</t>
  </si>
  <si>
    <t>O_DEPT</t>
  </si>
  <si>
    <t>O_DOC_REPLY_COMMENT</t>
  </si>
  <si>
    <t>O_DOCUMENT</t>
  </si>
  <si>
    <t>O_DOCUMENT_STATUS</t>
  </si>
  <si>
    <t>O_EDUCATION</t>
  </si>
  <si>
    <t>O_EMPLOYEE</t>
  </si>
  <si>
    <t>O_END_CAUSE</t>
  </si>
  <si>
    <t>O_END_CAUSE_TYPE</t>
  </si>
  <si>
    <t>O_FATCA_DD_LIST</t>
  </si>
  <si>
    <t>O_FATCA_SURVEY_POPULATION</t>
  </si>
  <si>
    <t>O_FATCA_SURVEY_POPULATION_T1</t>
  </si>
  <si>
    <t>O_FATCA_SURVEY_PPN</t>
  </si>
  <si>
    <t>O_FEE_STATUS</t>
  </si>
  <si>
    <t>O_FIN_CHQ_CLOSE_DETAIL</t>
  </si>
  <si>
    <t>O_FIN_CHQ_HONOR_STATUS</t>
  </si>
  <si>
    <t>O_FORM_ALLOC_TYPE</t>
  </si>
  <si>
    <t>O_FORM_ALLOCATION</t>
  </si>
  <si>
    <t>O_FORM_APPLY</t>
  </si>
  <si>
    <t>O_FORM_APPLY_STATUS</t>
  </si>
  <si>
    <t>O_FORM_CERT</t>
  </si>
  <si>
    <t>O_FORM_CERT_DTL</t>
  </si>
  <si>
    <t>O_FORM_CERT_STATUS</t>
  </si>
  <si>
    <t>O_FORM_INSTOCK</t>
  </si>
  <si>
    <t>O_FORM_OUTSTOCK</t>
  </si>
  <si>
    <t>O_FORM_OUTSTOCK_STATUS</t>
  </si>
  <si>
    <t>O_FORM_PRINT_REQ</t>
  </si>
  <si>
    <t>O_FORM_TYPE</t>
  </si>
  <si>
    <t>O_FORM_VOID</t>
  </si>
  <si>
    <t>O_FORM_VOID_REASON</t>
  </si>
  <si>
    <t>O_FUND</t>
  </si>
  <si>
    <t>O_FUND_ADJUST_TRANS</t>
  </si>
  <si>
    <t>O_FUND_CASH</t>
  </si>
  <si>
    <t>O_FUND_COMPANY</t>
  </si>
  <si>
    <t>O_FUND_COUPON</t>
  </si>
  <si>
    <t>O_FUND_COUPON_ALLOC</t>
  </si>
  <si>
    <t>O_FUND_COUPON_INDI</t>
  </si>
  <si>
    <t>O_FUND_COUPON_STATUS</t>
  </si>
  <si>
    <t>O_FUND_INS_INVEST_DTL</t>
  </si>
  <si>
    <t>O_FUND_INSTALL_INVEST</t>
  </si>
  <si>
    <t>O_FUND_PRICE</t>
  </si>
  <si>
    <t>O_FUND_PRICE_FACTOR</t>
  </si>
  <si>
    <t>O_FUND_PRICE_INDEX</t>
  </si>
  <si>
    <t>O_FUND_PRICE_STATUS</t>
  </si>
  <si>
    <t>O_FUND_PRICE_TYPE</t>
  </si>
  <si>
    <t>O_FUND_PROCESS_STATUS</t>
  </si>
  <si>
    <t>O_FUND_SERVICE</t>
  </si>
  <si>
    <t>O_FUND_SETTLE_RATE</t>
  </si>
  <si>
    <t>O_FUND_SETTLE_RATE_TYPE</t>
  </si>
  <si>
    <t>O_FUND_SETTLEMENT</t>
  </si>
  <si>
    <t>O_FUND_STATUS</t>
  </si>
  <si>
    <t>O_FUND_TRANS</t>
  </si>
  <si>
    <t>O_FUND_TRANS_APPLY</t>
  </si>
  <si>
    <t>O_FUND_TYPE</t>
  </si>
  <si>
    <t>O_GENDER</t>
  </si>
  <si>
    <t>O_GL_EXCHANGE_RATE</t>
  </si>
  <si>
    <t>O_GL_INTERFACE</t>
  </si>
  <si>
    <t>O_GL_RATE_TYPE</t>
  </si>
  <si>
    <t>O_HIERARCHY_CHANGE_TYPE</t>
  </si>
  <si>
    <t>O_ILP_BUCKET_FILLING</t>
  </si>
  <si>
    <t>O_ILP_BUCKET_INFO</t>
  </si>
  <si>
    <t>O_ILP_PROFIT_LOSS_ROI</t>
  </si>
  <si>
    <t>O_IMAGE</t>
  </si>
  <si>
    <t>O_INSURED_LIST</t>
  </si>
  <si>
    <t>O_INSURED_LIST_CX</t>
  </si>
  <si>
    <t>O_INSURED_LIST_LOG</t>
  </si>
  <si>
    <t>O_INV_BONUS_ALLOC</t>
  </si>
  <si>
    <t>O_INV_BONUS_ALLOC_STS</t>
  </si>
  <si>
    <t>O_INV_BONUS_FAIL_REASON</t>
  </si>
  <si>
    <t>O_INV_BONUS_SOURCE_TYPE</t>
  </si>
  <si>
    <t>O_INV_BONUS_TYPE</t>
  </si>
  <si>
    <t>O_INV_TRANS_DETAIL</t>
  </si>
  <si>
    <t>O_INVEST_SCHEME</t>
  </si>
  <si>
    <t>O_INVEST_SCHEME_DTL</t>
  </si>
  <si>
    <t>O_JBPM_TASKINSTANCE</t>
  </si>
  <si>
    <t>O_JOB_CATEGORY</t>
  </si>
  <si>
    <t>O_LA_PH_RELA</t>
  </si>
  <si>
    <t>O_LAPSE_CAUSE</t>
  </si>
  <si>
    <t>O_LEAVE_CAUSE</t>
  </si>
  <si>
    <t>O_LIABILITY</t>
  </si>
  <si>
    <t>O_LIABILITY_CATEGORY</t>
  </si>
  <si>
    <t>O_LIABILITY_STATUS</t>
  </si>
  <si>
    <t>O_LIAROC_UPLOAD</t>
  </si>
  <si>
    <t>O_LIFE_SURVEY_ITEM</t>
  </si>
  <si>
    <t>O_LOAN_REPAY_SCHEDULE</t>
  </si>
  <si>
    <t>O_MONEY</t>
  </si>
  <si>
    <t>O_NB_ACCEPTANCE_FILE</t>
  </si>
  <si>
    <t>O_NB_AGENT_NOTIFY</t>
  </si>
  <si>
    <t>O_NB_MAIL_TO</t>
  </si>
  <si>
    <t>O_NB_MAIL_TO_TYPE</t>
  </si>
  <si>
    <t>O_NB_PAYER_TO_PH</t>
  </si>
  <si>
    <t>O_PA_CASH_REFUND</t>
  </si>
  <si>
    <t>O_PA_CONFIRM_ERR_CODE</t>
  </si>
  <si>
    <t>O_PA_CONFIRM_ERROR</t>
  </si>
  <si>
    <t>O_PA_NOTICE_HISTORY</t>
  </si>
  <si>
    <t>O_PA_PREM_RMNDR_TYPE</t>
  </si>
  <si>
    <t>O_PA_SEAL_RECORD</t>
  </si>
  <si>
    <t>O_PA_TRADER</t>
  </si>
  <si>
    <t>O_PARTY</t>
  </si>
  <si>
    <t>O_PARTY_ADDR</t>
  </si>
  <si>
    <t>O_PAY_DUE</t>
  </si>
  <si>
    <t>O_PAY_MODE</t>
  </si>
  <si>
    <t>O_PAY_PLAN</t>
  </si>
  <si>
    <t>O_PAY_PLAN_PAYEE_CX</t>
  </si>
  <si>
    <t>O_PAY_PLAN_PAYEE_LOG</t>
  </si>
  <si>
    <t>O_PAY_PLAN_TYPE</t>
  </si>
  <si>
    <t>O_PAY_TYPE</t>
  </si>
  <si>
    <t>O_PAYER_ACCOUNT</t>
  </si>
  <si>
    <t>O_PAYMODE_TYPE</t>
  </si>
  <si>
    <t>O_PD_FUND_TRANS_SET</t>
  </si>
  <si>
    <t>O_PD_MP_DISCOUNT</t>
  </si>
  <si>
    <t>O_PD_RENEW_TYPE</t>
  </si>
  <si>
    <t>O_PD_SAFEKEEPING_BANK</t>
  </si>
  <si>
    <t>O_PENDING_ISSUE_TYPE</t>
  </si>
  <si>
    <t>O_PERF_PD</t>
  </si>
  <si>
    <t>O_PERIOD_TYPE</t>
  </si>
  <si>
    <t>O_POL_ACCOUNT_CODE</t>
  </si>
  <si>
    <t>O_POL_ACCOUNT_TRANS</t>
  </si>
  <si>
    <t>O_POL_ACCT_TRANS_LIST</t>
  </si>
  <si>
    <t>O_POL_ACCT_TRANS_TYPE</t>
  </si>
  <si>
    <t>O_POL_ACCT_TYPE</t>
  </si>
  <si>
    <t>O_POL_CS_SPECIAL_INFO</t>
  </si>
  <si>
    <t>O_POLICY_ACCOUNT</t>
  </si>
  <si>
    <t>O_POLICY_ACK</t>
  </si>
  <si>
    <t>O_POLICY_ACK_TASK</t>
  </si>
  <si>
    <t>O_POLICY_BANK_AUTH</t>
  </si>
  <si>
    <t>O_POLICY_BILLING_DSPH</t>
  </si>
  <si>
    <t>O_POLICY_CHANGE</t>
  </si>
  <si>
    <t>O_POLICY_CHECK_DETAIL</t>
  </si>
  <si>
    <t>O_POLICY_CHK_RESULT</t>
  </si>
  <si>
    <t>O_POLICY_DECISION</t>
  </si>
  <si>
    <t>O_POLICY_EXTEND_RESET</t>
  </si>
  <si>
    <t>O_POLICY_HOLDER</t>
  </si>
  <si>
    <t>O_POLICY_HOLDER_CX</t>
  </si>
  <si>
    <t>O_POLICY_HOLDER_LOG</t>
  </si>
  <si>
    <t>O_POLICY_MEDICAL_CHK</t>
  </si>
  <si>
    <t>O_POLICY_PRINT_JOB</t>
  </si>
  <si>
    <t>O_POLICY_PRODUCER_ROLE</t>
  </si>
  <si>
    <t>O_POLICY_SIGN_RESULT</t>
  </si>
  <si>
    <t>O_POLICY_UND_REASON</t>
  </si>
  <si>
    <t>O_POLICY_WIDTHDRAW_C</t>
  </si>
  <si>
    <t>O_PRECONT_HOLDER</t>
  </si>
  <si>
    <t>O_PREM_ARAP</t>
  </si>
  <si>
    <t>O_PREM_PURPOSE</t>
  </si>
  <si>
    <t>O_PREM_STATUS</t>
  </si>
  <si>
    <t>O_PRINT_CATEGORY</t>
  </si>
  <si>
    <t>O_PRINT_JOB_STATUS</t>
  </si>
  <si>
    <t>O_PROD_BIZ_CATEGORY</t>
  </si>
  <si>
    <t>O_PRODUCER_HIERARCHY</t>
  </si>
  <si>
    <t>O_PRODUCER_ROLE</t>
  </si>
  <si>
    <t>O_PRODUCT_CATEGORY</t>
  </si>
  <si>
    <t>O_PRODUCT_CHARGE_LIST</t>
  </si>
  <si>
    <t>O_PRODUCT_CS_RULE</t>
  </si>
  <si>
    <t>O_PRODUCT_DECISION</t>
  </si>
  <si>
    <t>O_PRODUCT_FUND</t>
  </si>
  <si>
    <t>O_PRODUCT_LIFE</t>
  </si>
  <si>
    <t>O_PRODUCT_VERSION</t>
  </si>
  <si>
    <t>O_PROPOSAL_STATUS</t>
  </si>
  <si>
    <t>O_QUALITY_MANAGE_LIST</t>
  </si>
  <si>
    <t>O_QUOTATION_TYPE</t>
  </si>
  <si>
    <t>O_RECEIPT</t>
  </si>
  <si>
    <t>O_SALES_CHANNEL</t>
  </si>
  <si>
    <t>O_SC_AGENCY_CONT_LIST</t>
  </si>
  <si>
    <t>O_SC_AGENT_GRP_INS</t>
  </si>
  <si>
    <t>O_SC_AGENT_VACATION</t>
  </si>
  <si>
    <t>O_SC_AOICIA_INFO</t>
  </si>
  <si>
    <t>O_SC_ASSISTANT</t>
  </si>
  <si>
    <t>O_SC_CALLOUT_CONFIG</t>
  </si>
  <si>
    <t>O_SC_CHANNEL_AOICIA</t>
  </si>
  <si>
    <t>O_SC_CHANNEL_STATUS</t>
  </si>
  <si>
    <t>O_SC_COMMUNICATE</t>
  </si>
  <si>
    <t>O_SC_DECLARE_AREA</t>
  </si>
  <si>
    <t>O_SC_EXAMS_RESULT</t>
  </si>
  <si>
    <t>O_SC_EXAMS_STATUS</t>
  </si>
  <si>
    <t>O_SC_EXAMS_SUBJECT</t>
  </si>
  <si>
    <t>O_SC_EXCLUDE_WORK_MONTH</t>
  </si>
  <si>
    <t>O_SC_FOA_ACCEPTANCE</t>
  </si>
  <si>
    <t>O_SC_FOA_ACEPT_FILE</t>
  </si>
  <si>
    <t>O_SC_FOA_ACEPT_STAT</t>
  </si>
  <si>
    <t>O_SC_FOA_ACEPT_STATUS</t>
  </si>
  <si>
    <t>O_SC_FOA_ACEPT_TYPE</t>
  </si>
  <si>
    <t>O_SC_FOA_CS_SERVICE</t>
  </si>
  <si>
    <t>O_SC_FOA_PDN_DETAIL</t>
  </si>
  <si>
    <t>O_SC_FOA_PDN_ITEM</t>
  </si>
  <si>
    <t>O_SC_FOA_UNB_CASE</t>
  </si>
  <si>
    <t>O_SC_FOA_UNB_PRODUCT</t>
  </si>
  <si>
    <t>O_SC_HEALTH_LABOR</t>
  </si>
  <si>
    <t>O_SC_HEALTH_SPECIAL</t>
  </si>
  <si>
    <t>O_SC_INCOME_STANDARD</t>
  </si>
  <si>
    <t>O_SC_LABOR_INDI</t>
  </si>
  <si>
    <t>O_SC_LABOR_RETIR</t>
  </si>
  <si>
    <t>O_SC_LABOR_SPECIAL</t>
  </si>
  <si>
    <t>O_SC_LEAVE</t>
  </si>
  <si>
    <t>O_SC_LEAVE_STATUS</t>
  </si>
  <si>
    <t>O_SC_PCD_AREA_ALLOC</t>
  </si>
  <si>
    <t>O_SC_PCD_AREA_CODE</t>
  </si>
  <si>
    <t>O_SC_PCD_POL_SERVICE</t>
  </si>
  <si>
    <t>O_SC_PERSONAL_INFO</t>
  </si>
  <si>
    <t>O_SC_POLICY_XFER_ALLOC</t>
  </si>
  <si>
    <t>O_SC_POLICY_XFER_CASE</t>
  </si>
  <si>
    <t>O_SC_POLICY_XFER_CNT</t>
  </si>
  <si>
    <t>O_SC_PT_ACCEPTANCE_RSN</t>
  </si>
  <si>
    <t>O_SC_PT_CASE_STATUS</t>
  </si>
  <si>
    <t>O_SC_REGISTER_AGENT</t>
  </si>
  <si>
    <t>O_SC_REGISTER_INFO</t>
  </si>
  <si>
    <t>O_SC_REGISTER_RESULT</t>
  </si>
  <si>
    <t>O_SC_REGISTER_STATUS</t>
  </si>
  <si>
    <t>O_SC_REGISTER_SUBJECT</t>
  </si>
  <si>
    <t>O_SC_REGISTER_TYPE</t>
  </si>
  <si>
    <t>O_SC_REWARD_PUNISH</t>
  </si>
  <si>
    <t>O_SC_ROLE_TYPE</t>
  </si>
  <si>
    <t>O_SC_RP_CODE</t>
  </si>
  <si>
    <t>O_SC_SIGNTORY</t>
  </si>
  <si>
    <t>O_SC_STATUS_CHANGE_RSN</t>
  </si>
  <si>
    <t>O_SC_TOPAGENT</t>
  </si>
  <si>
    <t>O_SC_TOPAGENT_TYPE</t>
  </si>
  <si>
    <t>O_SC_UNION_REGISTER</t>
  </si>
  <si>
    <t>O_SC_UNION_STATUS</t>
  </si>
  <si>
    <t>O_SC_UNION_TYPE</t>
  </si>
  <si>
    <t>O_SERVICE</t>
  </si>
  <si>
    <t>O_SERVICE_RATE</t>
  </si>
  <si>
    <t>O_SERVICE_TYPE</t>
  </si>
  <si>
    <t>O_SUSPEND_CAUSE</t>
  </si>
  <si>
    <t>O_TEMPLATE</t>
  </si>
  <si>
    <t>O_TEMPLATE_CATEGORY</t>
  </si>
  <si>
    <t>O_TEST_INFO</t>
  </si>
  <si>
    <t>O_TEST_TYPE</t>
  </si>
  <si>
    <t>O_TRANS_OPTION</t>
  </si>
  <si>
    <t>O_TRANS_REASON_CONFIG</t>
  </si>
  <si>
    <t>O_TRANSACTION_CODE</t>
  </si>
  <si>
    <t>O_TRANSACTION_QUERY_LOG</t>
  </si>
  <si>
    <t>O_TRANSFER_UNSUCCESS</t>
  </si>
  <si>
    <t>O_UNIT_FLAG</t>
  </si>
  <si>
    <t>O_USER</t>
  </si>
  <si>
    <t>O_UW_CANCEL_CAUSE</t>
  </si>
  <si>
    <t>O_UW_CHECK_LIST_STAT</t>
  </si>
  <si>
    <t>O_UW_CHECK_LIST_TYPE</t>
  </si>
  <si>
    <t>O_UW_COMMENT</t>
  </si>
  <si>
    <t>O_UW_POLICY</t>
  </si>
  <si>
    <t>O_UW_RI_FAC_EXTEND</t>
  </si>
  <si>
    <t>O_UW_STATUS</t>
  </si>
  <si>
    <t>O_UW_SURVEY_LET</t>
  </si>
  <si>
    <t>O_UW_SURVEY_LIST</t>
  </si>
  <si>
    <t>O_UW_TRANSFER</t>
  </si>
  <si>
    <t>O_VIP_CONDITION</t>
  </si>
  <si>
    <t>O_VIP_CUSTOMER</t>
  </si>
  <si>
    <t>O_VIP_CUSTOMER_DETAIL</t>
  </si>
  <si>
    <t>PA_0270_11G</t>
  </si>
  <si>
    <t>PA_0300_11G</t>
  </si>
  <si>
    <t>PA_0310_11G</t>
  </si>
  <si>
    <t>PA_0320_11G</t>
  </si>
  <si>
    <t>PA_0350_11G</t>
  </si>
  <si>
    <t>PA_0360_11G</t>
  </si>
  <si>
    <t>PA_0400_11G</t>
  </si>
  <si>
    <t>PA_0410_11G</t>
  </si>
  <si>
    <t>PA_0420_11G</t>
  </si>
  <si>
    <t>PA_0430_11G</t>
  </si>
  <si>
    <t>PA_0440_11G</t>
  </si>
  <si>
    <t>PA_0450_11G</t>
  </si>
  <si>
    <t>PA_0470_11G</t>
  </si>
  <si>
    <t>PA_0480_11G</t>
  </si>
  <si>
    <t>PA_0500_11G</t>
  </si>
  <si>
    <t>PA_0520_11G</t>
  </si>
  <si>
    <t>PA_0540_11G</t>
  </si>
  <si>
    <t>PA_0550_11G</t>
  </si>
  <si>
    <t>PA_0590_11G</t>
  </si>
  <si>
    <t>PA_0600_11G</t>
  </si>
  <si>
    <t>PA_0610_11G</t>
  </si>
  <si>
    <t>PA_0620_11G</t>
  </si>
  <si>
    <t>PA_0640_11G</t>
  </si>
  <si>
    <t>PA_0650_11G</t>
  </si>
  <si>
    <t>PA_0660_11G</t>
  </si>
  <si>
    <t>PA_0670_11G</t>
  </si>
  <si>
    <t>PA_0680_11G</t>
  </si>
  <si>
    <t>PA_0690_11G</t>
  </si>
  <si>
    <t>PA_REF_CODE</t>
  </si>
  <si>
    <t>POS_0430_11G</t>
  </si>
  <si>
    <t>POS_0490_11G</t>
  </si>
  <si>
    <t>POS_0490_13G</t>
  </si>
  <si>
    <t>POS_0510_11G</t>
  </si>
  <si>
    <t>POS_0590_11G</t>
  </si>
  <si>
    <t>POS_0640_11G</t>
  </si>
  <si>
    <t>POS_0760_11G</t>
  </si>
  <si>
    <t>POS_0770_11G</t>
  </si>
  <si>
    <t>POS_0780_11G</t>
  </si>
  <si>
    <t>POS_0790_12G</t>
  </si>
  <si>
    <t>POS_0790_13G</t>
  </si>
  <si>
    <t>POS_0790_15G</t>
  </si>
  <si>
    <t>POS_0800_11G</t>
  </si>
  <si>
    <t>POS_0800_12G</t>
  </si>
  <si>
    <t>POS_0800_13G</t>
  </si>
  <si>
    <t>POS_0840_11G</t>
  </si>
  <si>
    <t>POS_0850_11G</t>
  </si>
  <si>
    <t>POS_0880_11G</t>
  </si>
  <si>
    <t>POS_0920_11G</t>
  </si>
  <si>
    <t>POS_0930_11G</t>
  </si>
  <si>
    <t>POS_0950_11G</t>
  </si>
  <si>
    <t>POS_0970_11G</t>
  </si>
  <si>
    <t>POS_0980_11G</t>
  </si>
  <si>
    <t>POS_0980_13G</t>
  </si>
  <si>
    <t>POS_0990_11G</t>
  </si>
  <si>
    <t>POS_1000_11G</t>
  </si>
  <si>
    <t>POS_1010_11G</t>
  </si>
  <si>
    <t>POS_1080_11G</t>
  </si>
  <si>
    <t>POS_1090_11G</t>
  </si>
  <si>
    <t>POS_1110_11G</t>
  </si>
  <si>
    <t>POS_1130_11G</t>
  </si>
  <si>
    <t>POS_1160_11G</t>
  </si>
  <si>
    <t>POS_1240_11G</t>
  </si>
  <si>
    <t>POS_1250_11G</t>
  </si>
  <si>
    <t>POS_1260_11G</t>
  </si>
  <si>
    <t>POS_1270_11G</t>
  </si>
  <si>
    <t>POS_1280_11G</t>
  </si>
  <si>
    <t>POS_1290_11G</t>
  </si>
  <si>
    <t>POS_1310_11G</t>
  </si>
  <si>
    <t>POS_1320_11G</t>
  </si>
  <si>
    <t>POS_1330_11G</t>
  </si>
  <si>
    <t>POS_1340_11G</t>
  </si>
  <si>
    <t>POS_1350_11G</t>
  </si>
  <si>
    <t>POS_1360_11G</t>
  </si>
  <si>
    <t>POS_1370_11G</t>
  </si>
  <si>
    <t>POS_1380_11G</t>
  </si>
  <si>
    <t>POS_1390_11G</t>
  </si>
  <si>
    <t>POS_1400_11G</t>
  </si>
  <si>
    <t>POS_1400_12G</t>
  </si>
  <si>
    <t>POS_1410_11G</t>
  </si>
  <si>
    <t>POS_1440_11G</t>
  </si>
  <si>
    <t>POS_1460_11G</t>
  </si>
  <si>
    <t>POS_1510_11G</t>
  </si>
  <si>
    <t>POS_1530_11G</t>
  </si>
  <si>
    <t>POS_1580_11G</t>
  </si>
  <si>
    <t>POS_1600_11G</t>
  </si>
  <si>
    <t>POS_1610_11G</t>
  </si>
  <si>
    <t>POS_1650_11G</t>
  </si>
  <si>
    <t>POS_1650_12G</t>
  </si>
  <si>
    <t>POS_1660_11G</t>
  </si>
  <si>
    <t>POS_7150_11G</t>
  </si>
  <si>
    <t>POS_REF_CS_QUOTATION</t>
  </si>
  <si>
    <t>POS_REF_KPI</t>
  </si>
  <si>
    <t>POS_REF_PARM</t>
  </si>
  <si>
    <t>POS_REF_SERVICE_KPI</t>
  </si>
  <si>
    <t>SC_6000_11G</t>
  </si>
  <si>
    <t>SC_6010_11G</t>
  </si>
  <si>
    <t>SC_6020_11G</t>
  </si>
  <si>
    <t>SC_6030_11G</t>
  </si>
  <si>
    <t>SC_6050_11G</t>
  </si>
  <si>
    <t>SC_6060_11G</t>
  </si>
  <si>
    <t>SC_6070_11G</t>
  </si>
  <si>
    <t>SC_6080_11G</t>
  </si>
  <si>
    <t>SC_6090_11G</t>
  </si>
  <si>
    <t>SC_6100_11G</t>
  </si>
  <si>
    <t>SC_6110_11G</t>
  </si>
  <si>
    <t>SC_6120_11G</t>
  </si>
  <si>
    <t>SC_6130_11G</t>
  </si>
  <si>
    <t>SC_6140_11G</t>
  </si>
  <si>
    <t>SC_6150_11G</t>
  </si>
  <si>
    <t>SC_6160_11G</t>
  </si>
  <si>
    <t>SC_6170_11G</t>
  </si>
  <si>
    <t>SC_6190_11G</t>
  </si>
  <si>
    <t>SC_6200_11G</t>
  </si>
  <si>
    <t>SC_6210_11G</t>
  </si>
  <si>
    <t>SC_6330_11G</t>
  </si>
  <si>
    <t>SC_6330_11G_PARAM</t>
  </si>
  <si>
    <t>SC_6340_11G</t>
  </si>
  <si>
    <t>SC_6350_11G</t>
  </si>
  <si>
    <t>SC_6360_11G</t>
  </si>
  <si>
    <t>SC_6361_11G</t>
  </si>
  <si>
    <t>SC_6380_11G</t>
  </si>
  <si>
    <t>SC_6381_11G</t>
  </si>
  <si>
    <t>SC_6390_11G</t>
  </si>
  <si>
    <t>SC_6400_11G</t>
  </si>
  <si>
    <t>SC_6410_11G</t>
  </si>
  <si>
    <t>SC_6420_11G</t>
  </si>
  <si>
    <t>SC_6420_12G</t>
  </si>
  <si>
    <t>SC_6430_11G</t>
  </si>
  <si>
    <t>SC_6430_12G</t>
  </si>
  <si>
    <t>SC_6431_11G</t>
  </si>
  <si>
    <t>SC_6432_11G</t>
  </si>
  <si>
    <t>SC_6433_11G</t>
  </si>
  <si>
    <t>SC_6433_12G</t>
  </si>
  <si>
    <t>SC_6440_11G</t>
  </si>
  <si>
    <t>SC_6450_11G</t>
  </si>
  <si>
    <t>SC_6450_12G</t>
  </si>
  <si>
    <t>SC_6470_11G</t>
  </si>
  <si>
    <t>SC_6471_11G</t>
  </si>
  <si>
    <t>SC_6472_11G</t>
  </si>
  <si>
    <t>SC_6473_11G</t>
  </si>
  <si>
    <t>SC_6474_11G</t>
  </si>
  <si>
    <t>SC_6475_11G</t>
  </si>
  <si>
    <t>SC_6476_11G</t>
  </si>
  <si>
    <t>SC_6477_11G</t>
  </si>
  <si>
    <t>SC_6480_11G</t>
  </si>
  <si>
    <t>SC_6490_11G</t>
  </si>
  <si>
    <t>SC_6580_11G</t>
  </si>
  <si>
    <t>SC_6590_11G</t>
  </si>
  <si>
    <t>SC_6600_11G</t>
  </si>
  <si>
    <t>SC_6610_11G</t>
  </si>
  <si>
    <t>SC_6611_11G</t>
  </si>
  <si>
    <t>SC_6620_11G</t>
  </si>
  <si>
    <t>SC_6650_11G</t>
  </si>
  <si>
    <t>SC_6650_21G</t>
  </si>
  <si>
    <t>SC_6650_31G</t>
  </si>
  <si>
    <t>SC_6650_41G</t>
  </si>
  <si>
    <t>SC_6650_51G</t>
  </si>
  <si>
    <t>SC_6670_11G</t>
  </si>
  <si>
    <t>SC_6690_11G</t>
  </si>
  <si>
    <t>SC_6700_11G</t>
  </si>
  <si>
    <t>SC_6710_11G</t>
  </si>
  <si>
    <t>SC_6730_11G</t>
  </si>
  <si>
    <t>SC_6740_11G</t>
  </si>
  <si>
    <t>SC_6750_11G</t>
  </si>
  <si>
    <t>SC_6800_11G</t>
  </si>
  <si>
    <t>SC_6810_11G</t>
  </si>
  <si>
    <t>SC_6820_11G</t>
  </si>
  <si>
    <t>SC_JOB_PARAM</t>
  </si>
  <si>
    <t>SDM_ACQUIRER_BANK</t>
  </si>
  <si>
    <t>SDM_ADDRESS</t>
  </si>
  <si>
    <t>SDM_AGENT</t>
  </si>
  <si>
    <t>SDM_AGENT_GRADE</t>
  </si>
  <si>
    <t>SDM_ATTRIBUTE_SPEC</t>
  </si>
  <si>
    <t>SDM_BANK</t>
  </si>
  <si>
    <t>SDM_BANK_ACCOUNT</t>
  </si>
  <si>
    <t>SDM_BANK_ORG</t>
  </si>
  <si>
    <t>SDM_BANK_TEXT</t>
  </si>
  <si>
    <t>SDM_BANK_TEXT_DETAIL</t>
  </si>
  <si>
    <t>SDM_BILLCARD</t>
  </si>
  <si>
    <t>SDM_BRBD_ACCEPTANCE</t>
  </si>
  <si>
    <t>SDM_BRBD_ACEPT_F_CFG</t>
  </si>
  <si>
    <t>SDM_CALLOUT_TRANS</t>
  </si>
  <si>
    <t>SDM_CAMPAIGN_MASTER</t>
  </si>
  <si>
    <t>SDM_CAPITAL_DISTRI_TYPE</t>
  </si>
  <si>
    <t>SDM_CAPITAL_DISTRIBUTE</t>
  </si>
  <si>
    <t>SDM_CASH</t>
  </si>
  <si>
    <t>SDM_CHANGE</t>
  </si>
  <si>
    <t>SDM_CHANNEL_ORG</t>
  </si>
  <si>
    <t>SDM_CHANNEL_ORG_HIR</t>
  </si>
  <si>
    <t>SDM_CHECKLIST</t>
  </si>
  <si>
    <t>SDM_CHEQUE</t>
  </si>
  <si>
    <t>SDM_CHEQUE_RETURN_LIST</t>
  </si>
  <si>
    <t>SDM_CLAIM_CASE</t>
  </si>
  <si>
    <t>SDM_CLAIM_CASE_H</t>
  </si>
  <si>
    <t>SDM_CLAIM_CHECKLIST</t>
  </si>
  <si>
    <t>SDM_CLAIM_CURE</t>
  </si>
  <si>
    <t>SDM_CLAIM_LIAB</t>
  </si>
  <si>
    <t>SDM_CLAIM_PAY</t>
  </si>
  <si>
    <t>SDM_CLAIM_PRODUCT</t>
  </si>
  <si>
    <t>SDM_CLAIM_RISK</t>
  </si>
  <si>
    <t>SDM_CLOSE_FUND_MAPPING</t>
  </si>
  <si>
    <t>SDM_CMSN_INFO_EXTEND</t>
  </si>
  <si>
    <t>SDM_CODE</t>
  </si>
  <si>
    <t>SDM_COMMISION_FACTOR</t>
  </si>
  <si>
    <t>SDM_COMMISION_INFO</t>
  </si>
  <si>
    <t>SDM_COMMISION_TOTAL</t>
  </si>
  <si>
    <t>SDM_COMMISSION</t>
  </si>
  <si>
    <t>SDM_COMPANY_ORGAN</t>
  </si>
  <si>
    <t>SDM_CONTRACT_BENE</t>
  </si>
  <si>
    <t>SDM_CONTRACT_EXTEND</t>
  </si>
  <si>
    <t>SDM_CONTRACT_INVEST</t>
  </si>
  <si>
    <t>SDM_CONTRACT_INVEST_H</t>
  </si>
  <si>
    <t>SDM_CONTRACT_INVEST_RT</t>
  </si>
  <si>
    <t>SDM_CONTRACT_MASTER</t>
  </si>
  <si>
    <t>SDM_CONTRACT_PRODUCT</t>
  </si>
  <si>
    <t>SDM_COUNTS</t>
  </si>
  <si>
    <t>SDM_CS_APP_PROCESS</t>
  </si>
  <si>
    <t>SDM_CS_APP_REJECT_RCRD</t>
  </si>
  <si>
    <t>SDM_CS_APP_STATUS</t>
  </si>
  <si>
    <t>SDM_CS_APPLICATION</t>
  </si>
  <si>
    <t>SDM_CS_CASH</t>
  </si>
  <si>
    <t>SDM_CS_EFFECT_DATE</t>
  </si>
  <si>
    <t>SDM_CS_EVALUATION_RSLT</t>
  </si>
  <si>
    <t>SDM_CS_MNUL_SUSPEND</t>
  </si>
  <si>
    <t>SDM_CS_QUOTATION</t>
  </si>
  <si>
    <t>SDM_CS_QUOTATION_RSLT</t>
  </si>
  <si>
    <t>SDM_CS_VIP_INT_FREE_LN</t>
  </si>
  <si>
    <t>SDM_DEPT</t>
  </si>
  <si>
    <t>SDM_DOC_REPLY_COMMENT</t>
  </si>
  <si>
    <t>SDM_DOCUMENT</t>
  </si>
  <si>
    <t>SDM_EMPLOYEE</t>
  </si>
  <si>
    <t>SDM_END_CAUSE</t>
  </si>
  <si>
    <t>SDM_END_CAUSE_TYPE</t>
  </si>
  <si>
    <t>SDM_FIN_CHQ_CLOSE_DTL</t>
  </si>
  <si>
    <t>SDM_FORM_ALLOCATION</t>
  </si>
  <si>
    <t>SDM_FORM_APPLY</t>
  </si>
  <si>
    <t>SDM_FORM_CERT</t>
  </si>
  <si>
    <t>SDM_FORM_CERT_DTL</t>
  </si>
  <si>
    <t>SDM_FORM_OUTSTOCK</t>
  </si>
  <si>
    <t>SDM_FORM_PRINT_REQ</t>
  </si>
  <si>
    <t>SDM_FORM_VOID</t>
  </si>
  <si>
    <t>SDM_FUND</t>
  </si>
  <si>
    <t>SDM_FUND_ADJUST_TRANS</t>
  </si>
  <si>
    <t>SDM_FUND_CASH</t>
  </si>
  <si>
    <t>SDM_FUND_COMPANY</t>
  </si>
  <si>
    <t>SDM_FUND_COUPON</t>
  </si>
  <si>
    <t>SDM_FUND_COUPON_ALLOC</t>
  </si>
  <si>
    <t>SDM_FUND_INS_INVEST_DTL</t>
  </si>
  <si>
    <t>SDM_FUND_INSTALL_INVEST</t>
  </si>
  <si>
    <t>SDM_FUND_PRICE</t>
  </si>
  <si>
    <t>SDM_FUND_PRICE_CUR</t>
  </si>
  <si>
    <t>SDM_FUND_PRICE_INDEX</t>
  </si>
  <si>
    <t>SDM_FUND_SERVICE</t>
  </si>
  <si>
    <t>SDM_FUND_SETTLE_RATE</t>
  </si>
  <si>
    <t>SDM_FUND_SETTLEMENT</t>
  </si>
  <si>
    <t>SDM_FUND_TRANS</t>
  </si>
  <si>
    <t>SDM_FUND_TRANS_APPLY</t>
  </si>
  <si>
    <t>SDM_GL_EXCHANGE_RATE</t>
  </si>
  <si>
    <t>SDM_GL_INTERFACE</t>
  </si>
  <si>
    <t>SDM_GL_RATE_TYPE</t>
  </si>
  <si>
    <t>SDM_ILP_BUCKET_FILLING</t>
  </si>
  <si>
    <t>SDM_ILP_BUCKET_INFO</t>
  </si>
  <si>
    <t>SDM_ILP_PROFIT_LOSS_ROI</t>
  </si>
  <si>
    <t>SDM_IMAGE</t>
  </si>
  <si>
    <t>SDM_INSURED_LIST</t>
  </si>
  <si>
    <t>SDM_INV_BONUS_ALLOC</t>
  </si>
  <si>
    <t>SDM_INV_TRANS_DETAIL</t>
  </si>
  <si>
    <t>SDM_INVEST_SCHEME</t>
  </si>
  <si>
    <t>SDM_INVEST_SCHEME_DTL</t>
  </si>
  <si>
    <t>SDM_JBPM_TASKINSTANCE</t>
  </si>
  <si>
    <t>SDM_JOB_CATEGORY</t>
  </si>
  <si>
    <t>SDM_LA_PH_RELA</t>
  </si>
  <si>
    <t>SDM_LAPSE_CAUSE</t>
  </si>
  <si>
    <t>SDM_LEAVE_CAUSE</t>
  </si>
  <si>
    <t>SDM_LIABILITY_STATUS</t>
  </si>
  <si>
    <t>SDM_LOAN_REPAY_SCHEDULE</t>
  </si>
  <si>
    <t>SDM_MONEY</t>
  </si>
  <si>
    <t>SDM_NB_ACCEPTANCE_FILE</t>
  </si>
  <si>
    <t>SDM_NB_AGENT_NOTIFY</t>
  </si>
  <si>
    <t>SDM_NB_MAIL_TO</t>
  </si>
  <si>
    <t>SDM_NB_PAYER_TO_PH</t>
  </si>
  <si>
    <t>SDM_PA_CASH_REFUND</t>
  </si>
  <si>
    <t>SDM_PA_CONFIRM_ERROR</t>
  </si>
  <si>
    <t>SDM_PA_NOTICE_HISTORY</t>
  </si>
  <si>
    <t>SDM_PA_SEAL_RECORD</t>
  </si>
  <si>
    <t>SDM_PA_TRADER</t>
  </si>
  <si>
    <t>SDM_PARTY</t>
  </si>
  <si>
    <t>SDM_PARTY_ADDR</t>
  </si>
  <si>
    <t>SDM_PAY_DUE</t>
  </si>
  <si>
    <t>SDM_PAY_MODE</t>
  </si>
  <si>
    <t>SDM_PAY_PLAN</t>
  </si>
  <si>
    <t>SDM_PAYMODE_TYPE</t>
  </si>
  <si>
    <t>SDM_PD_FUND_TRANS_SET</t>
  </si>
  <si>
    <t>SDM_PD_MP_DISCOUNT</t>
  </si>
  <si>
    <t>SDM_PERFORMANCE_PRODUCT</t>
  </si>
  <si>
    <t>SDM_PLCY_PRDCR_RL</t>
  </si>
  <si>
    <t>SDM_POL_ACCOUNT_TRANS</t>
  </si>
  <si>
    <t>SDM_POL_ACCT_TRANS_LIST</t>
  </si>
  <si>
    <t>SDM_POLICY_ACCOUNT</t>
  </si>
  <si>
    <t>SDM_POLICY_ACK</t>
  </si>
  <si>
    <t>SDM_POLICY_ACK_TASK</t>
  </si>
  <si>
    <t>SDM_POLICY_BANK_AUTH</t>
  </si>
  <si>
    <t>SDM_POLICY_BILLING_DSPH</t>
  </si>
  <si>
    <t>SDM_POLICY_CHANGE</t>
  </si>
  <si>
    <t>SDM_POLICY_CHECK_DETAIL</t>
  </si>
  <si>
    <t>SDM_POLICY_EXTEND_RESET</t>
  </si>
  <si>
    <t>SDM_POLICY_HOLDER</t>
  </si>
  <si>
    <t>SDM_POLICY_HOLDER_CX</t>
  </si>
  <si>
    <t>SDM_POLICY_MEDICAL_CHK</t>
  </si>
  <si>
    <t>SDM_POLICY_PRINT_JOB</t>
  </si>
  <si>
    <t>SDM_POLICY_PRODUCER_ROLE</t>
  </si>
  <si>
    <t>SDM_POLICY_WIDTHDRAW_C</t>
  </si>
  <si>
    <t>SDM_PREM_ARAP</t>
  </si>
  <si>
    <t>SDM_PREM_STATUS</t>
  </si>
  <si>
    <t>SDM_PROD_BIZ_CATEGORY</t>
  </si>
  <si>
    <t>SDM_PRODUCER_HIERARCHY</t>
  </si>
  <si>
    <t>SDM_PRODUCER_ROLE</t>
  </si>
  <si>
    <t>SDM_PRODUCT_CATEGORY</t>
  </si>
  <si>
    <t>SDM_PRODUCT_CHARGE_LIST</t>
  </si>
  <si>
    <t>SDM_PRODUCT_FUND</t>
  </si>
  <si>
    <t>SDM_PRODUCT_LIFE</t>
  </si>
  <si>
    <t>SDM_QUALITY_MANAGE_LIST</t>
  </si>
  <si>
    <t>SDM_RECEIPT</t>
  </si>
  <si>
    <t>SDM_SC_AGENCY_CONT_LIST</t>
  </si>
  <si>
    <t>SDM_SC_AGENT_VACATION</t>
  </si>
  <si>
    <t>SDM_SC_AGNT_GRP_INS</t>
  </si>
  <si>
    <t>SDM_SC_AOICIA_INFO</t>
  </si>
  <si>
    <t>SDM_SC_ASSISTANT</t>
  </si>
  <si>
    <t>SDM_SC_CALLOUT_CONFIG</t>
  </si>
  <si>
    <t>SDM_SC_CHANNEL_AOICIA</t>
  </si>
  <si>
    <t>SDM_SC_COMMUNICATE</t>
  </si>
  <si>
    <t>SDM_SC_EXCLD_WRK_MNTH</t>
  </si>
  <si>
    <t>SDM_SC_FOA_ACCEPTANCE</t>
  </si>
  <si>
    <t>SDM_SC_FOA_ACEPT_FILE</t>
  </si>
  <si>
    <t>SDM_SC_FOA_ACEPT_STAT</t>
  </si>
  <si>
    <t>SDM_SC_FOA_UNB_PRODUCT</t>
  </si>
  <si>
    <t>SDM_SC_HEALTH_LABOR</t>
  </si>
  <si>
    <t>SDM_SC_HEALTH_SPECIAL</t>
  </si>
  <si>
    <t>SDM_SC_INCOME_STANDARD</t>
  </si>
  <si>
    <t>SDM_SC_LABOR_INDI</t>
  </si>
  <si>
    <t>SDM_SC_LABOR_RETIR</t>
  </si>
  <si>
    <t>SDM_SC_LABOR_SPECIAL</t>
  </si>
  <si>
    <t>SDM_SC_LEAVE</t>
  </si>
  <si>
    <t>SDM_SC_PCD_POL_SERVICE</t>
  </si>
  <si>
    <t>SDM_SC_PLCY_XFER_ALLOC</t>
  </si>
  <si>
    <t>SDM_SC_PLCY_XFER_CASE</t>
  </si>
  <si>
    <t>SDM_SC_PLCY_XFER_CNT</t>
  </si>
  <si>
    <t>SDM_SC_REGISTER_INFO</t>
  </si>
  <si>
    <t>SDM_SC_REWARD_PUNISH</t>
  </si>
  <si>
    <t>SDM_SC_SIGNTORY</t>
  </si>
  <si>
    <t>SDM_SC_UNION_REGISTER</t>
  </si>
  <si>
    <t>SDM_SERVICE</t>
  </si>
  <si>
    <t>SDM_SERVICE_RATE</t>
  </si>
  <si>
    <t>SDM_SUSPEND_CAUSE</t>
  </si>
  <si>
    <t>SDM_TEST_INFO</t>
  </si>
  <si>
    <t>SDM_TRANS_QUERY_LOG</t>
  </si>
  <si>
    <t>SDM_TRANS_REASON_CONFIG</t>
  </si>
  <si>
    <t>SDM_TRANSACTION_CODE</t>
  </si>
  <si>
    <t>SDM_USER</t>
  </si>
  <si>
    <t>SDM_UW_CHECK_LIST_STAT</t>
  </si>
  <si>
    <t>SDM_UW_COMMENT</t>
  </si>
  <si>
    <t>SDM_UW_POLICY</t>
  </si>
  <si>
    <t>SDM_UW_RI_FAC_EXTEND</t>
  </si>
  <si>
    <t>SDM_UW_SURVEY_LET</t>
  </si>
  <si>
    <t>SDM_UW_TRANSFER</t>
  </si>
  <si>
    <t>SDM_VIP_CONDITION</t>
  </si>
  <si>
    <t>SDM_VIP_CUSTOMER</t>
  </si>
  <si>
    <t>SDM_VIP_CUSTOMER_DETAIL</t>
  </si>
  <si>
    <t>UNB_0020_11G</t>
  </si>
  <si>
    <t>UNB_0030_11G</t>
  </si>
  <si>
    <t>UNB_0050_11G</t>
  </si>
  <si>
    <t>UNB_0101_11G</t>
  </si>
  <si>
    <t>UNB_0160_11G</t>
  </si>
  <si>
    <t>UNB_0220_11G</t>
  </si>
  <si>
    <t>UNB_0230_11G</t>
  </si>
  <si>
    <t>UNB_0230_PARAM</t>
  </si>
  <si>
    <t>UNB_0231_11G</t>
  </si>
  <si>
    <t>UNB_0231_PARAM</t>
  </si>
  <si>
    <t>UNB_0232_PARAM</t>
  </si>
  <si>
    <t>UNB_0240_11G</t>
  </si>
  <si>
    <t>UNB_0240_PARAM</t>
  </si>
  <si>
    <t>UNB_0241_11G</t>
  </si>
  <si>
    <t>UNB_0260_11G</t>
  </si>
  <si>
    <t>UNB_0270_11G</t>
  </si>
  <si>
    <t>UNB_0280_11G</t>
  </si>
  <si>
    <t>UNB_0320_11G</t>
  </si>
  <si>
    <t>UNB_0350_11G</t>
  </si>
  <si>
    <t>UNB_0410_11G</t>
  </si>
  <si>
    <t>UNB_0430_11G</t>
  </si>
  <si>
    <t>UNB_0450_11G</t>
  </si>
  <si>
    <t>UNB_0460_11G</t>
  </si>
  <si>
    <t>UNB_0470_11G</t>
  </si>
  <si>
    <t>UNB_0480_11G</t>
  </si>
  <si>
    <t>UNB_0480_12G</t>
  </si>
  <si>
    <t>UNB_0481_11G</t>
  </si>
  <si>
    <t>UNB_0490_11G</t>
  </si>
  <si>
    <t>UNB_0500_11G</t>
  </si>
  <si>
    <t>UNB_0510_11G</t>
  </si>
  <si>
    <t>UNB_0520_11G</t>
  </si>
  <si>
    <t>UNB_0530_11G</t>
  </si>
  <si>
    <t>UNB_0540_11G</t>
  </si>
  <si>
    <t>UNB_0550_11G</t>
  </si>
  <si>
    <t>UNB_0560_11G</t>
  </si>
  <si>
    <t>UNB_0570_11G</t>
  </si>
  <si>
    <t>UNB_0590_11G</t>
  </si>
  <si>
    <t>UNB_0610_11G</t>
  </si>
  <si>
    <t>UNB_0640_11G</t>
  </si>
  <si>
    <t>UNB_0640_12G</t>
  </si>
  <si>
    <t>UNB_0680_11G</t>
  </si>
  <si>
    <t>UNB_0690_11G</t>
  </si>
  <si>
    <t>UNB_0700_11G</t>
  </si>
  <si>
    <t>UNB_0710_11G</t>
  </si>
  <si>
    <t>UNB_0750_11G</t>
  </si>
  <si>
    <t>UNB_JOB_PARAM</t>
  </si>
  <si>
    <t>UNB_REF_KPI</t>
  </si>
  <si>
    <t>UNB_REF_PARM</t>
  </si>
  <si>
    <t>Type</t>
    <phoneticPr fontId="2" type="noConversion"/>
  </si>
  <si>
    <t>2017-10-01</t>
    <phoneticPr fontId="2" type="noConversion"/>
  </si>
  <si>
    <t>ORD</t>
    <phoneticPr fontId="6" type="noConversion"/>
  </si>
  <si>
    <t>CUSTOMER.CUST_NAME</t>
    <phoneticPr fontId="2" type="noConversion"/>
  </si>
  <si>
    <t>PUBLIC,END_DT_CHAR,STAGING</t>
  </si>
  <si>
    <t>ORDER_INFO.ORDER_ID</t>
    <phoneticPr fontId="2" type="noConversion"/>
  </si>
  <si>
    <t>ORDERLINE.QUANTITY</t>
    <phoneticPr fontId="2" type="noConversion"/>
  </si>
  <si>
    <t>ORDERLINE.PRICE</t>
    <phoneticPr fontId="2" type="noConversion"/>
  </si>
  <si>
    <t>PRODUCT.PRODUCT_NAME</t>
    <phoneticPr fontId="2" type="noConversion"/>
  </si>
  <si>
    <t>PRODUCT.UPDATED_DTM</t>
    <phoneticPr fontId="2" type="noConversion"/>
  </si>
  <si>
    <t>udField1</t>
    <phoneticPr fontId="6" type="noConversion"/>
  </si>
  <si>
    <t>CUSTOMER.CUSTOMER_ID</t>
    <phoneticPr fontId="2" type="noConversion"/>
  </si>
  <si>
    <t>CUSTOMER.STREET</t>
    <phoneticPr fontId="2" type="noConversion"/>
  </si>
  <si>
    <t>CUSTOMER.CITY</t>
    <phoneticPr fontId="2" type="noConversion"/>
  </si>
  <si>
    <t>ORDER_INFO.CUSTOMER_ID</t>
    <phoneticPr fontId="2" type="noConversion"/>
  </si>
  <si>
    <t>ORDER_INFO</t>
    <phoneticPr fontId="6" type="noConversion"/>
  </si>
  <si>
    <t>ORDER_INFO.CREATE_DTM</t>
    <phoneticPr fontId="2" type="noConversion"/>
  </si>
  <si>
    <t>ORDERLINE.ORDERLINE_ID</t>
    <phoneticPr fontId="2" type="noConversion"/>
  </si>
  <si>
    <t>ORDERLINE.ORDER_ID</t>
    <phoneticPr fontId="2" type="noConversion"/>
  </si>
  <si>
    <t>ORDERLINE.PRODUCT_ID</t>
    <phoneticPr fontId="2" type="noConversion"/>
  </si>
  <si>
    <t>ORDERLINE</t>
    <phoneticPr fontId="6" type="noConversion"/>
  </si>
  <si>
    <t>PRODUCT.PRODUCT_ID</t>
    <phoneticPr fontId="2" type="noConversion"/>
  </si>
  <si>
    <t>PRODUCT.SUPPLIER_ID</t>
    <phoneticPr fontId="2" type="noConversion"/>
  </si>
  <si>
    <t>PRODUCT.PRODUCTTYPE_ID</t>
    <phoneticPr fontId="2" type="noConversion"/>
  </si>
  <si>
    <t>PRODUCT</t>
    <phoneticPr fontId="6" type="noConversion"/>
  </si>
  <si>
    <t>CUSTOMER</t>
  </si>
  <si>
    <t>ORDER_INFO</t>
  </si>
  <si>
    <t>ORDERLINE</t>
  </si>
  <si>
    <t>PRODUCT</t>
  </si>
  <si>
    <t>PG-UT.cfg</t>
    <phoneticPr fontId="2" type="noConversion"/>
  </si>
  <si>
    <t>Default Value</t>
    <phoneticPr fontId="2" type="noConversion"/>
  </si>
  <si>
    <t>REFRESH</t>
  </si>
  <si>
    <t>CUSTOMER_ID</t>
  </si>
  <si>
    <t>VARCHAR(16)</t>
  </si>
  <si>
    <t>CUST_NAME</t>
  </si>
  <si>
    <t>VARCHAR(20)</t>
  </si>
  <si>
    <t>STREET</t>
  </si>
  <si>
    <t>VARCHAR(50)</t>
  </si>
  <si>
    <t>CITY</t>
  </si>
  <si>
    <t>VARCHAR(30)</t>
  </si>
  <si>
    <t>UPDATED_DTM</t>
  </si>
  <si>
    <t>TIMESTAMP</t>
  </si>
  <si>
    <t>ORDER_ID</t>
  </si>
  <si>
    <t>CREATE_DTM</t>
  </si>
  <si>
    <t>ORDERLINE_ID</t>
  </si>
  <si>
    <t>PRODUCT_ID</t>
  </si>
  <si>
    <t>QUANTITY</t>
  </si>
  <si>
    <t>PRICE</t>
  </si>
  <si>
    <t>PRODUCT_NAME</t>
  </si>
  <si>
    <t>SUPPLIER_ID</t>
  </si>
  <si>
    <t>PRODUCTTYPE_ID</t>
  </si>
  <si>
    <t>staging</t>
    <phoneticPr fontId="2" type="noConversion"/>
  </si>
  <si>
    <t>DB_ENGINE</t>
  </si>
  <si>
    <t>PG</t>
    <phoneticPr fontId="2" type="noConversion"/>
  </si>
  <si>
    <t>ORACLE</t>
    <phoneticPr fontId="2" type="noConversion"/>
  </si>
  <si>
    <t>PG</t>
    <phoneticPr fontId="2" type="noConversion"/>
  </si>
  <si>
    <t>DWH</t>
    <phoneticPr fontId="6" type="noConversion"/>
  </si>
  <si>
    <t>O_CUSTOMER</t>
    <phoneticPr fontId="6" type="noConversion"/>
  </si>
  <si>
    <t>O_ORDER_INFO</t>
    <phoneticPr fontId="6" type="noConversion"/>
  </si>
  <si>
    <t>O_ORDERLINE</t>
    <phoneticPr fontId="6" type="noConversion"/>
  </si>
  <si>
    <t>O_PRODUCT</t>
    <phoneticPr fontId="6" type="noConversion"/>
  </si>
  <si>
    <r>
      <t>O_</t>
    </r>
    <r>
      <rPr>
        <sz val="11"/>
        <color theme="1"/>
        <rFont val="微軟正黑體"/>
        <family val="2"/>
        <charset val="136"/>
      </rPr>
      <t>CUSTOMER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</si>
  <si>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ORDER_INFO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</si>
  <si>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ORDERLINE</t>
    </r>
    <phoneticPr fontId="2" type="noConversion"/>
  </si>
  <si>
    <t>O_PRODUCT</t>
    <phoneticPr fontId="2" type="noConversion"/>
  </si>
  <si>
    <t>CUSTOMER</t>
    <phoneticPr fontId="2" type="noConversion"/>
  </si>
  <si>
    <t>O_CUSTOMER</t>
    <phoneticPr fontId="2" type="noConversion"/>
  </si>
  <si>
    <t>O_ORDER_INFO</t>
    <phoneticPr fontId="2" type="noConversion"/>
  </si>
  <si>
    <t>O_ORDERLINE</t>
    <phoneticPr fontId="2" type="noConversion"/>
  </si>
  <si>
    <t>O_PRODUCT</t>
    <phoneticPr fontId="2" type="noConversion"/>
  </si>
  <si>
    <t>*</t>
    <phoneticPr fontId="2" type="noConversion"/>
  </si>
  <si>
    <t>PRODUCT</t>
    <phoneticPr fontId="2" type="noConversion"/>
  </si>
  <si>
    <t>ORDERLINE</t>
    <phoneticPr fontId="2" type="noConversion"/>
  </si>
  <si>
    <t>ORDER_INFO</t>
    <phoneticPr fontId="2" type="noConversion"/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</si>
  <si>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6" type="noConversion"/>
  </si>
  <si>
    <t>String: File Path</t>
    <phoneticPr fontId="6" type="noConversion"/>
  </si>
  <si>
    <t>NULL</t>
    <phoneticPr fontId="6" type="noConversion"/>
  </si>
  <si>
    <t>Output</t>
    <phoneticPr fontId="6" type="noConversion"/>
  </si>
  <si>
    <t>String: File Path</t>
    <phoneticPr fontId="6" type="noConversion"/>
  </si>
  <si>
    <t>C:\TEMP\</t>
    <phoneticPr fontId="6" type="noConversion"/>
  </si>
  <si>
    <t>Released</t>
    <phoneticPr fontId="6" type="noConversion"/>
  </si>
  <si>
    <t>c:\temp</t>
    <phoneticPr fontId="2" type="noConversion"/>
  </si>
  <si>
    <t>String: File Path</t>
    <phoneticPr fontId="6" type="noConversion"/>
  </si>
  <si>
    <t>ETL program output directory base for DW</t>
    <phoneticPr fontId="6" type="noConversion"/>
  </si>
  <si>
    <t>DIR_OUTPUT_STG</t>
    <phoneticPr fontId="6" type="noConversion"/>
  </si>
  <si>
    <t>{{DIR_OUTPUT}}{DW_SYSNAME}\{SRC_SYSNAME}\{SRC_NAME}</t>
    <phoneticPr fontId="6" type="noConversion"/>
  </si>
  <si>
    <t>DIR_OUTPUT_ODS</t>
    <phoneticPr fontId="6" type="noConversion"/>
  </si>
  <si>
    <t>ETL program output directory base for Source</t>
    <phoneticPr fontId="6" type="noConversion"/>
  </si>
  <si>
    <t>Released</t>
    <phoneticPr fontId="6" type="noConversion"/>
  </si>
  <si>
    <t>ETL runtime dir: Program</t>
    <phoneticPr fontId="6" type="noConversion"/>
  </si>
  <si>
    <t>LOG_LEVEL</t>
    <phoneticPr fontId="6" type="noConversion"/>
  </si>
  <si>
    <t>Log訊息等級, aka DEBUG_LogLevel</t>
    <phoneticPr fontId="6" type="noConversion"/>
  </si>
  <si>
    <t>LOG</t>
    <phoneticPr fontId="6" type="noConversion"/>
  </si>
  <si>
    <t>LOG_CLEAR</t>
    <phoneticPr fontId="6" type="noConversion"/>
  </si>
  <si>
    <t>LOG_LENGTH</t>
    <phoneticPr fontId="6" type="noConversion"/>
  </si>
  <si>
    <t>Integer</t>
    <phoneticPr fontId="6" type="noConversion"/>
  </si>
  <si>
    <t>String</t>
    <phoneticPr fontId="6" type="noConversion"/>
  </si>
  <si>
    <t>LOG_FILE</t>
    <phoneticPr fontId="6" type="noConversion"/>
  </si>
  <si>
    <t>File name for Log</t>
    <phoneticPr fontId="6" type="noConversion"/>
  </si>
  <si>
    <t>sqlg.log</t>
    <phoneticPr fontId="6" type="noConversion"/>
  </si>
  <si>
    <t>DEBUG_UNITTEST</t>
    <phoneticPr fontId="6" type="noConversion"/>
  </si>
  <si>
    <t>Debug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</si>
  <si>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6" type="noConversion"/>
  </si>
  <si>
    <t>String</t>
    <phoneticPr fontId="6" type="noConversion"/>
  </si>
  <si>
    <t>NULL</t>
    <phoneticPr fontId="6" type="noConversion"/>
  </si>
  <si>
    <t>DB Driver when debug mode, used in ext table</t>
    <phoneticPr fontId="6" type="noConversion"/>
  </si>
  <si>
    <t>ODBC!JDBC</t>
    <phoneticPr fontId="6" type="noConversion"/>
  </si>
  <si>
    <t>DEBUG_UNITDIR</t>
    <phoneticPr fontId="6" type="noConversion"/>
  </si>
  <si>
    <t>vbUnit test directory for source compare</t>
    <phoneticPr fontId="6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</si>
  <si>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6" type="noConversion"/>
  </si>
  <si>
    <t>Integer: 1~5</t>
    <phoneticPr fontId="6" type="noConversion"/>
  </si>
  <si>
    <t>PREEMPTIVE table pattern</t>
    <phoneticPr fontId="6" type="noConversion"/>
  </si>
  <si>
    <t>Debug</t>
    <phoneticPr fontId="6" type="noConversion"/>
  </si>
  <si>
    <t>DB_ENGINE</t>
    <phoneticPr fontId="6" type="noConversion"/>
  </si>
  <si>
    <t>SQL 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</si>
  <si>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</si>
  <si>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</si>
  <si>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Released</t>
    <phoneticPr fontId="6" type="noConversion"/>
  </si>
  <si>
    <t>ODBC_DB</t>
    <phoneticPr fontId="6" type="noConversion"/>
  </si>
  <si>
    <t>ODBC_PORT</t>
    <phoneticPr fontId="6" type="noConversion"/>
  </si>
  <si>
    <t>Site</t>
    <phoneticPr fontId="6" type="noConversion"/>
  </si>
  <si>
    <t>ODBC_UID</t>
    <phoneticPr fontId="6" type="noConversion"/>
  </si>
  <si>
    <t>Site</t>
    <phoneticPr fontId="6" type="noConversion"/>
  </si>
  <si>
    <t>NULL</t>
    <phoneticPr fontId="6" type="noConversion"/>
  </si>
  <si>
    <t>ODBC_TIMEOUT</t>
    <phoneticPr fontId="6" type="noConversion"/>
  </si>
  <si>
    <t>ODBC_TOOL</t>
    <phoneticPr fontId="6" type="noConversion"/>
  </si>
  <si>
    <t>Project</t>
    <phoneticPr fontId="6" type="noConversion"/>
  </si>
  <si>
    <t>ODBC</t>
    <phoneticPr fontId="6" type="noConversion"/>
  </si>
  <si>
    <t>Template 版本, aka SQLGEN_Version</t>
    <phoneticPr fontId="6" type="noConversion"/>
  </si>
  <si>
    <t>Integer: v1.0~v1.1</t>
    <phoneticPr fontId="6" type="noConversion"/>
  </si>
  <si>
    <t>v1.0</t>
    <phoneticPr fontId="6" type="noConversion"/>
  </si>
  <si>
    <t>SQLG_MACLIST</t>
    <phoneticPr fontId="6" type="noConversion"/>
  </si>
  <si>
    <t>Validation List, aka SQLGEN_List</t>
    <phoneticPr fontId="6" type="noConversion"/>
  </si>
  <si>
    <t>00:27:10:00:00:F8!00:27:10:99:98:F8</t>
    <phoneticPr fontId="6" type="noConversion"/>
  </si>
  <si>
    <t>SQLG_PROFILE</t>
    <phoneticPr fontId="6" type="noConversion"/>
  </si>
  <si>
    <t>SQLG_PARSER</t>
    <phoneticPr fontId="6" type="noConversion"/>
  </si>
  <si>
    <t xml:space="preserve">Parser procedure, developer extenable </t>
    <phoneticPr fontId="6" type="noConversion"/>
  </si>
  <si>
    <t>odsGenScriptRun</t>
    <phoneticPr fontId="2" type="noConversion"/>
  </si>
  <si>
    <t>SQLToolkit</t>
    <phoneticPr fontId="6" type="noConversion"/>
  </si>
  <si>
    <t>SQLG_ROWSTART</t>
  </si>
  <si>
    <t>Row start for symbol gen</t>
    <phoneticPr fontId="6" type="noConversion"/>
  </si>
  <si>
    <t>2000</t>
    <phoneticPr fontId="6" type="noConversion"/>
  </si>
  <si>
    <t>integer</t>
    <phoneticPr fontId="6" type="noConversion"/>
  </si>
  <si>
    <t>0</t>
    <phoneticPr fontId="6" type="noConversion"/>
  </si>
  <si>
    <t>SQLToolkit</t>
    <phoneticPr fontId="6" type="noConversion"/>
  </si>
  <si>
    <t xml:space="preserve">sql file used in extraction for ETLM </t>
    <phoneticPr fontId="6" type="noConversion"/>
  </si>
  <si>
    <t>String</t>
    <phoneticPr fontId="6" type="noConversion"/>
  </si>
  <si>
    <t>Site</t>
    <phoneticPr fontId="6" type="noConversion"/>
  </si>
  <si>
    <t>RunMode</t>
    <phoneticPr fontId="6" type="noConversion"/>
  </si>
  <si>
    <t>Run mode for quick access function</t>
    <phoneticPr fontId="6" type="noConversion"/>
  </si>
  <si>
    <t>Integer: 1~6</t>
    <phoneticPr fontId="6" type="noConversion"/>
  </si>
  <si>
    <t>Released</t>
    <phoneticPr fontId="6" type="noConversion"/>
  </si>
  <si>
    <t>FMT_SYMREPLACE</t>
    <phoneticPr fontId="6" type="noConversion"/>
  </si>
  <si>
    <t>Flag enable symbol replacement</t>
    <phoneticPr fontId="6" type="noConversion"/>
  </si>
  <si>
    <t>Boolean</t>
    <phoneticPr fontId="6" type="noConversion"/>
  </si>
  <si>
    <t>SQLFormat</t>
    <phoneticPr fontId="6" type="noConversion"/>
  </si>
  <si>
    <t>FMT_DUPCHK</t>
    <phoneticPr fontId="6" type="noConversion"/>
  </si>
  <si>
    <t xml:space="preserve">The DB param for duplicate check, and create SQL </t>
    <phoneticPr fontId="6" type="noConversion"/>
  </si>
  <si>
    <t>{SCHEMA}_EXCEPT</t>
    <phoneticPr fontId="6" type="noConversion"/>
  </si>
  <si>
    <t>SQLFormat</t>
    <phoneticPr fontId="6" type="noConversion"/>
  </si>
  <si>
    <t>Depreciated</t>
    <phoneticPr fontId="6" type="noConversion"/>
  </si>
  <si>
    <t>FMT_MUTIDB</t>
    <phoneticPr fontId="6" type="noConversion"/>
  </si>
  <si>
    <t>Multiple Schema or DB mode</t>
    <phoneticPr fontId="6" type="noConversion"/>
  </si>
  <si>
    <t>FMT_DEF_SCHEMA</t>
    <phoneticPr fontId="6" type="noConversion"/>
  </si>
  <si>
    <t>Default schema for multiple schema mode</t>
    <phoneticPr fontId="6" type="noConversion"/>
  </si>
  <si>
    <t>""</t>
    <phoneticPr fontId="6" type="noConversion"/>
  </si>
  <si>
    <t>FMT_TARGET_DDL</t>
    <phoneticPr fontId="6" type="noConversion"/>
  </si>
  <si>
    <t>Boolean</t>
    <phoneticPr fontId="6" type="noConversion"/>
  </si>
  <si>
    <t>Skip DDL creation or not</t>
    <phoneticPr fontId="6" type="noConversion"/>
  </si>
  <si>
    <t>Boolean</t>
    <phoneticPr fontId="6" type="noConversion"/>
  </si>
  <si>
    <t>SQLFormat</t>
    <phoneticPr fontId="6" type="noConversion"/>
  </si>
  <si>
    <t>Name of SQL Common Library</t>
    <phoneticPr fontId="6" type="noConversion"/>
  </si>
  <si>
    <t>FMT_SRCLIST_TBL</t>
    <phoneticPr fontId="6" type="noConversion"/>
  </si>
  <si>
    <t>Flag to Update Source @ Table Summary</t>
    <phoneticPr fontId="6" type="noConversion"/>
  </si>
  <si>
    <t>Integer</t>
    <phoneticPr fontId="6" type="noConversion"/>
  </si>
  <si>
    <t>FMT_SRCLIST_COL</t>
    <phoneticPr fontId="6" type="noConversion"/>
  </si>
  <si>
    <t>Flag to Update Source @ Data map</t>
    <phoneticPr fontId="6" type="noConversion"/>
  </si>
  <si>
    <t>FMT_SRCLIST_TP</t>
    <phoneticPr fontId="6" type="noConversion"/>
  </si>
  <si>
    <t>Type for source list</t>
    <phoneticPr fontId="6" type="noConversion"/>
  </si>
  <si>
    <t>0 for deduplicate, 1 for internal trace</t>
    <phoneticPr fontId="6" type="noConversion"/>
  </si>
  <si>
    <t>FMT_SQL_TRUNC</t>
    <phoneticPr fontId="6" type="noConversion"/>
  </si>
  <si>
    <t>Truncate SQL statement template</t>
    <phoneticPr fontId="6" type="noConversion"/>
  </si>
  <si>
    <t>ALTER TABLE {SCHEMA_QUAL}{TBL_ID} DISABLE CONSTRAINT {IDX_ID};{SQLG_NL}TRUNCATE TABLE {SCHEMA_QUAL}{TBL_ID}</t>
  </si>
  <si>
    <t>TRUNCATE TABLE {SCHEMA_QUAL}{TBL_ID}</t>
    <phoneticPr fontId="6" type="noConversion"/>
  </si>
  <si>
    <t>FMT_SQL_TRUNC_NOPK</t>
    <phoneticPr fontId="6" type="noConversion"/>
  </si>
  <si>
    <t>Truncate SQL statement template when no PK</t>
    <phoneticPr fontId="6" type="noConversion"/>
  </si>
  <si>
    <t>EXEC ST_TRUNCATE '{TBL_ID}'</t>
    <phoneticPr fontId="6" type="noConversion"/>
  </si>
  <si>
    <t>FMT_SQL_GENSTAT</t>
    <phoneticPr fontId="6" type="noConversion"/>
  </si>
  <si>
    <t>Gen statistic</t>
    <phoneticPr fontId="6" type="noConversion"/>
  </si>
  <si>
    <t>CALL DBMS_STATS.GATHER_TABLE_STATS('{SCHEMA}','{TBL_ID}')</t>
  </si>
  <si>
    <t>GENERATE STATISTICS ON {SCHEMA_QUAL}{TBL_ID}</t>
  </si>
  <si>
    <t>FMT_SQL_CHKDUP</t>
    <phoneticPr fontId="6" type="noConversion"/>
  </si>
  <si>
    <t>Check duplicate SQL</t>
    <phoneticPr fontId="6" type="noConversion"/>
  </si>
  <si>
    <t>ALTER TABLE {SCHEMA_QUAL}{TBL_ID} ENABLE CONSTRAINT {IDX_ID} EXCEPTIONS INTO {SCHEMA_QUAL}{EXCEPT_ID}</t>
    <phoneticPr fontId="6" type="noConversion"/>
  </si>
  <si>
    <t>String</t>
    <phoneticPr fontId="6" type="noConversion"/>
  </si>
  <si>
    <t>EXEC  {SQLCMN_QUAL}SP_CHK_UNIQ( '{TBL_ID}', '{EXCEPT_ID}')</t>
  </si>
  <si>
    <t>Drop table SQL statement template</t>
    <phoneticPr fontId="6" type="noConversion"/>
  </si>
  <si>
    <t>FMT_SQL_PARL</t>
    <phoneticPr fontId="6" type="noConversion"/>
  </si>
  <si>
    <t>SQL enable parallel</t>
    <phoneticPr fontId="6" type="noConversion"/>
  </si>
  <si>
    <t>/*+ append */</t>
    <phoneticPr fontId="6" type="noConversion"/>
  </si>
  <si>
    <t>NULL</t>
    <phoneticPr fontId="6" type="noConversion"/>
  </si>
  <si>
    <t>SQLFormat</t>
    <phoneticPr fontId="6" type="noConversion"/>
  </si>
  <si>
    <t>FMT_SQL_HINT</t>
  </si>
  <si>
    <t>SQL hint</t>
    <phoneticPr fontId="6" type="noConversion"/>
  </si>
  <si>
    <t>/*+ append */</t>
    <phoneticPr fontId="6" type="noConversion"/>
  </si>
  <si>
    <t>FMT_SQL_CT</t>
    <phoneticPr fontId="6" type="noConversion"/>
  </si>
  <si>
    <t>SQL Create Table</t>
    <phoneticPr fontId="6" type="noConversion"/>
  </si>
  <si>
    <t>CREATE TABLE {SCHEMA_QUAL}{TBL_ID}</t>
    <phoneticPr fontId="6" type="noConversion"/>
  </si>
  <si>
    <t>FMT_SQL_CT_TEMP</t>
    <phoneticPr fontId="6" type="noConversion"/>
  </si>
  <si>
    <t>SQL Create Temp Table</t>
    <phoneticPr fontId="6" type="noConversion"/>
  </si>
  <si>
    <t>CREATE TEMP TABLE {SCHEMA_QUAL}{TBL_ID}</t>
  </si>
  <si>
    <t>FMT_SQL_CT_EXT</t>
    <phoneticPr fontId="6" type="noConversion"/>
  </si>
  <si>
    <t>SQL Create External Table</t>
    <phoneticPr fontId="6" type="noConversion"/>
  </si>
  <si>
    <t>CREATE EXTERNAL TABLE {SCHEMA_QUAL}{TBL_ID}</t>
    <phoneticPr fontId="6" type="noConversion"/>
  </si>
  <si>
    <t>FMT_STGTYPE</t>
    <phoneticPr fontId="2" type="noConversion"/>
  </si>
  <si>
    <t>Stage Table Type</t>
    <phoneticPr fontId="2" type="noConversion"/>
  </si>
  <si>
    <t>0-Table,1-TempTable, 2-ExternalTable,3-ExceptionTable</t>
    <phoneticPr fontId="6" type="noConversion"/>
  </si>
  <si>
    <t>0-Table</t>
    <phoneticPr fontId="6" type="noConversion"/>
  </si>
  <si>
    <t>FMT_STGPROG</t>
    <phoneticPr fontId="2" type="noConversion"/>
  </si>
  <si>
    <t>Stage Program 命名方式</t>
    <phoneticPr fontId="2" type="noConversion"/>
  </si>
  <si>
    <t>{STG_TBL_NAME}</t>
    <phoneticPr fontId="2" type="noConversion"/>
  </si>
  <si>
    <t>FMT_STGNAME</t>
    <phoneticPr fontId="2" type="noConversion"/>
  </si>
  <si>
    <t>Stage Table 命名方式</t>
    <phoneticPr fontId="2" type="noConversion"/>
  </si>
  <si>
    <t>STG_{SRC_FREQ}_{SRC_NAME}</t>
    <phoneticPr fontId="2" type="noConversion"/>
  </si>
  <si>
    <t>ODS Table 命名方式</t>
    <phoneticPr fontId="2" type="noConversion"/>
  </si>
  <si>
    <t>ODS_{SRC_FREQ}_{SRC_NAME}</t>
    <phoneticPr fontId="2" type="noConversion"/>
  </si>
  <si>
    <t>FMT_DATNAME</t>
    <phoneticPr fontId="6" type="noConversion"/>
  </si>
  <si>
    <t>SRC, data file  命名方式</t>
    <phoneticPr fontId="2" type="noConversion"/>
  </si>
  <si>
    <t>{SRC_NAME}</t>
    <phoneticPr fontId="2" type="noConversion"/>
  </si>
  <si>
    <t>SRC, source extractoin data file  命名方式</t>
    <phoneticPr fontId="2" type="noConversion"/>
  </si>
  <si>
    <t>FMT_STG_SCHEMA</t>
    <phoneticPr fontId="6" type="noConversion"/>
  </si>
  <si>
    <t>STAGE Schema for ods template</t>
    <phoneticPr fontId="2" type="noConversion"/>
  </si>
  <si>
    <t>SRC</t>
    <phoneticPr fontId="6" type="noConversion"/>
  </si>
  <si>
    <t>STAGE</t>
    <phoneticPr fontId="6" type="noConversion"/>
  </si>
  <si>
    <t>FMT_ODS_SCHEMA</t>
    <phoneticPr fontId="6" type="noConversion"/>
  </si>
  <si>
    <t>ODS Schema for ods template</t>
    <phoneticPr fontId="2" type="noConversion"/>
  </si>
  <si>
    <t>ODSTMP</t>
    <phoneticPr fontId="6" type="noConversion"/>
  </si>
  <si>
    <t>ODS</t>
    <phoneticPr fontId="6" type="noConversion"/>
  </si>
  <si>
    <t>FMT_ODS_JOBNAME</t>
    <phoneticPr fontId="6" type="noConversion"/>
  </si>
  <si>
    <t>ODS Job name for scheduler</t>
    <phoneticPr fontId="2" type="noConversion"/>
  </si>
  <si>
    <t>{SRC_NAME}</t>
    <phoneticPr fontId="2" type="noConversion"/>
  </si>
  <si>
    <t>FMT_DW_JOBNAME</t>
    <phoneticPr fontId="6" type="noConversion"/>
  </si>
  <si>
    <t>DW Job name for scheduler</t>
    <phoneticPr fontId="2" type="noConversion"/>
  </si>
  <si>
    <t>{TBL_NAME}</t>
    <phoneticPr fontId="2" type="noConversion"/>
  </si>
  <si>
    <t>{TBL_NAME}</t>
    <phoneticPr fontId="2" type="noConversion"/>
  </si>
  <si>
    <t>SQLToolkit</t>
    <phoneticPr fontId="6" type="noConversion"/>
  </si>
  <si>
    <t>FMT_EXCEPTTABLE</t>
    <phoneticPr fontId="6" type="noConversion"/>
  </si>
  <si>
    <t>String: LOV</t>
    <phoneticPr fontId="6" type="noConversion"/>
  </si>
  <si>
    <t>FMT_TEMPTABLE</t>
    <phoneticPr fontId="6" type="noConversion"/>
  </si>
  <si>
    <t>FMT_TEMPDB</t>
    <phoneticPr fontId="6" type="noConversion"/>
  </si>
  <si>
    <t>""</t>
    <phoneticPr fontId="6" type="noConversion"/>
  </si>
  <si>
    <t>FMT_PROC_CLRTMP</t>
    <phoneticPr fontId="6" type="noConversion"/>
  </si>
  <si>
    <t xml:space="preserve">Enable clear temp at end </t>
    <phoneticPr fontId="6" type="noConversion"/>
  </si>
  <si>
    <t>Site</t>
    <phoneticPr fontId="6" type="noConversion"/>
  </si>
  <si>
    <t>FMT_PROC_DROPTMP</t>
    <phoneticPr fontId="6" type="noConversion"/>
  </si>
  <si>
    <t xml:space="preserve">Enable drop temp at end </t>
    <phoneticPr fontId="6" type="noConversion"/>
  </si>
  <si>
    <t>FMT_TBLIDX</t>
    <phoneticPr fontId="6" type="noConversion"/>
  </si>
  <si>
    <t>Table Index  命名方式</t>
    <phoneticPr fontId="6" type="noConversion"/>
  </si>
  <si>
    <t>{TBLID}_PK</t>
    <phoneticPr fontId="6" type="noConversion"/>
  </si>
  <si>
    <t>{TBLID}_PK  AND  {TBLID}_IDX1</t>
    <phoneticPr fontId="6" type="noConversion"/>
  </si>
  <si>
    <t>FMT_DBLIST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</si>
  <si>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6" type="noConversion"/>
  </si>
  <si>
    <t>STAGE!ODS!DW!DM!CRM!OLAP</t>
    <phoneticPr fontId="6" type="noConversion"/>
  </si>
  <si>
    <t>FMT_SYS_TBLLIST</t>
    <phoneticPr fontId="6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</si>
  <si>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6" type="noConversion"/>
  </si>
  <si>
    <t>_V_DUAL!DUAL</t>
    <phoneticPr fontId="6" type="noConversion"/>
  </si>
  <si>
    <t>_V_DUAL!DUAL</t>
    <phoneticPr fontId="6" type="noConversion"/>
  </si>
  <si>
    <t>History table naming rule</t>
    <phoneticPr fontId="6" type="noConversion"/>
  </si>
  <si>
    <t>{SCHEMA}H_{TBL_NAME}</t>
    <phoneticPr fontId="6" type="noConversion"/>
  </si>
  <si>
    <t>ODH_, DWH_ …</t>
    <phoneticPr fontId="2" type="noConversion"/>
  </si>
  <si>
    <t>History table organization key flag</t>
    <phoneticPr fontId="6" type="noConversion"/>
  </si>
  <si>
    <t>History table column of transaction date</t>
    <phoneticPr fontId="6" type="noConversion"/>
  </si>
  <si>
    <t>TRN_DT</t>
    <phoneticPr fontId="6" type="noConversion"/>
  </si>
  <si>
    <t>HIST_TRANS_DATE</t>
    <phoneticPr fontId="6" type="noConversion"/>
  </si>
  <si>
    <t>FMT_SNAPS_COLS</t>
    <phoneticPr fontId="6" type="noConversion"/>
  </si>
  <si>
    <t xml:space="preserve">History table default date column </t>
    <phoneticPr fontId="6" type="noConversion"/>
  </si>
  <si>
    <t>Y;DATA_YR!M;DATA_YM!M1;DATA_YM!D;SNAP_DT!S;DATA_YM</t>
    <phoneticPr fontId="6" type="noConversion"/>
  </si>
  <si>
    <t>FMT_PDM_NAMECHK</t>
    <phoneticPr fontId="6" type="noConversion"/>
  </si>
  <si>
    <t>FMT_PDMTYPELIST</t>
    <phoneticPr fontId="6" type="noConversion"/>
  </si>
  <si>
    <t>List for parsable entity type</t>
    <phoneticPr fontId="6" type="noConversion"/>
  </si>
  <si>
    <t>T, V, S, R</t>
    <phoneticPr fontId="6" type="noConversion"/>
  </si>
  <si>
    <t>T, V, S, P, R, E, F</t>
    <phoneticPr fontId="6" type="noConversion"/>
  </si>
  <si>
    <t>FMT_PDMTYPE</t>
    <phoneticPr fontId="6" type="noConversion"/>
  </si>
  <si>
    <t>WIP</t>
    <phoneticPr fontId="6" type="noConversion"/>
  </si>
  <si>
    <t>FMT_TEMPCHECK</t>
    <phoneticPr fontId="6" type="noConversion"/>
  </si>
  <si>
    <t>Keep Temp Table for Duplicate Check</t>
    <phoneticPr fontId="6" type="noConversion"/>
  </si>
  <si>
    <t>Boolean</t>
    <phoneticPr fontId="6" type="noConversion"/>
  </si>
  <si>
    <t>System Temp Table DDL type</t>
    <phoneticPr fontId="6" type="noConversion"/>
  </si>
  <si>
    <t>FMT_TEMP_DDL</t>
    <phoneticPr fontId="6" type="noConversion"/>
  </si>
  <si>
    <t>USER Temp Table DDL type</t>
    <phoneticPr fontId="6" type="noConversion"/>
  </si>
  <si>
    <t>1-Target, 2-AtSQL, 3-AtDDL, 4-AsNormal</t>
    <phoneticPr fontId="6" type="noConversion"/>
  </si>
  <si>
    <t>FMT_PROG_INI</t>
    <phoneticPr fontId="6" type="noConversion"/>
  </si>
  <si>
    <t>Program naming for initial load</t>
    <phoneticPr fontId="6" type="noConversion"/>
  </si>
  <si>
    <t>{TBL_NAME}_TMP</t>
    <phoneticPr fontId="6" type="noConversion"/>
  </si>
  <si>
    <t>{PROG_NAME_UNI}_TMP</t>
    <phoneticPr fontId="6" type="noConversion"/>
  </si>
  <si>
    <t>FMT_PROG_TYPE</t>
    <phoneticPr fontId="6" type="noConversion"/>
  </si>
  <si>
    <t>Program type, SQL or StoredProcedure</t>
    <phoneticPr fontId="6" type="noConversion"/>
  </si>
  <si>
    <t>0-SQL, 1-SP enforce param, 2-SP manual param</t>
    <phoneticPr fontId="6" type="noConversion"/>
  </si>
  <si>
    <t>FMT_PROG_SPNAME</t>
    <phoneticPr fontId="6" type="noConversion"/>
  </si>
  <si>
    <t xml:space="preserve">Stored Procuedure naming </t>
    <phoneticPr fontId="6" type="noConversion"/>
  </si>
  <si>
    <t>{PROG_NAME}_SP</t>
    <phoneticPr fontId="6" type="noConversion"/>
  </si>
  <si>
    <t>{PROG_NAME}_SP</t>
    <phoneticPr fontId="6" type="noConversion"/>
  </si>
  <si>
    <t>FMT_PROG_SPMAP</t>
    <phoneticPr fontId="6" type="noConversion"/>
  </si>
  <si>
    <t xml:space="preserve">Stored Procuedure param mapping </t>
    <phoneticPr fontId="6" type="noConversion"/>
  </si>
  <si>
    <t>{{END.DT}}=${tws.job.date}</t>
    <phoneticPr fontId="6" type="noConversion"/>
  </si>
  <si>
    <t>FMT_ID_CASE</t>
    <phoneticPr fontId="6" type="noConversion"/>
  </si>
  <si>
    <t>Rule naming case sensitivity</t>
    <phoneticPr fontId="6" type="noConversion"/>
  </si>
  <si>
    <t xml:space="preserve">ID rule method, </t>
    <phoneticPr fontId="6" type="noConversion"/>
  </si>
  <si>
    <t>NAME, UNION, UN_NAME</t>
    <phoneticPr fontId="6" type="noConversion"/>
  </si>
  <si>
    <t>ODS: UNION; DW: UN_NAME</t>
    <phoneticPr fontId="6" type="noConversion"/>
  </si>
  <si>
    <t>FMT_ID4_TEMP</t>
    <phoneticPr fontId="6" type="noConversion"/>
  </si>
  <si>
    <t>P</t>
    <phoneticPr fontId="6" type="noConversion"/>
  </si>
  <si>
    <t>FMT_ID4_CTE</t>
    <phoneticPr fontId="6" type="noConversion"/>
  </si>
  <si>
    <t>Rule ID for CTE table</t>
    <phoneticPr fontId="6" type="noConversion"/>
  </si>
  <si>
    <t>V</t>
    <phoneticPr fontId="6" type="noConversion"/>
  </si>
  <si>
    <t>Integer</t>
    <phoneticPr fontId="6" type="noConversion"/>
  </si>
  <si>
    <t>External Table Option</t>
    <phoneticPr fontId="6" type="noConversion"/>
  </si>
  <si>
    <t>DELIM ','  NULLVALUE ''</t>
    <phoneticPr fontId="6" type="noConversion"/>
  </si>
  <si>
    <t>FMT_REF_NOFILTER</t>
  </si>
  <si>
    <t xml:space="preserve">Disable reference table filter </t>
    <phoneticPr fontId="6" type="noConversion"/>
  </si>
  <si>
    <t>FMT_TBL_OPTION</t>
    <phoneticPr fontId="6" type="noConversion"/>
  </si>
  <si>
    <t>Table Option</t>
    <phoneticPr fontId="6" type="noConversion"/>
  </si>
  <si>
    <t>ROW FORMAT DELIMITED FIELDS TERMINATED BY ',' {SQLG_NL}STORED AS PARQUETFILE{SQLG_NL}</t>
    <phoneticPr fontId="6" type="noConversion"/>
  </si>
  <si>
    <t>FMT_TMP_OPTION</t>
    <phoneticPr fontId="6" type="noConversion"/>
  </si>
  <si>
    <t>Temp Table Option</t>
    <phoneticPr fontId="6" type="noConversion"/>
  </si>
  <si>
    <t>ON COMMIT PRESERVE ROWS</t>
    <phoneticPr fontId="6" type="noConversion"/>
  </si>
  <si>
    <t>Oracle: ON COMMIT PRESERVE ROWS
Others: NULL</t>
    <phoneticPr fontId="6" type="noConversion"/>
  </si>
  <si>
    <t>FMT_STG_TBLOPTION</t>
    <phoneticPr fontId="6" type="noConversion"/>
  </si>
  <si>
    <t xml:space="preserve">Table Option fot Stage </t>
    <phoneticPr fontId="6" type="noConversion"/>
  </si>
  <si>
    <t>ROW FORMAT DELIMITED FIELDS TERMINATED BY ',' {SQLG_NL}STORED AS PARQUETFILE{SQLG_NL}</t>
    <phoneticPr fontId="6" type="noConversion"/>
  </si>
  <si>
    <t>FMT_STG_BAT_TMPL</t>
  </si>
  <si>
    <t>Stage data load shell template</t>
    <phoneticPr fontId="6" type="noConversion"/>
  </si>
  <si>
    <t>windows_tmpl.cfg</t>
  </si>
  <si>
    <t>Shell Format</t>
    <phoneticPr fontId="6" type="noConversion"/>
  </si>
  <si>
    <t>FMT_STG_BAT_EX</t>
    <phoneticPr fontId="6" type="noConversion"/>
  </si>
  <si>
    <t>Stage extended shell name</t>
    <phoneticPr fontId="2" type="noConversion"/>
  </si>
  <si>
    <t>{PGM_FILE_NAME}.sh</t>
    <phoneticPr fontId="6" type="noConversion"/>
  </si>
  <si>
    <t>Shell Format</t>
    <phoneticPr fontId="6" type="noConversion"/>
  </si>
  <si>
    <t>FMT_STG_BAT_REM</t>
    <phoneticPr fontId="6" type="noConversion"/>
  </si>
  <si>
    <t>Remark pattern for shell script</t>
    <phoneticPr fontId="6" type="noConversion"/>
  </si>
  <si>
    <t xml:space="preserve">REM </t>
    <phoneticPr fontId="6" type="noConversion"/>
  </si>
  <si>
    <t>Shell Format</t>
    <phoneticPr fontId="6" type="noConversion"/>
  </si>
  <si>
    <t>FMT_COLS_ENFORCE</t>
    <phoneticPr fontId="6" type="noConversion"/>
  </si>
  <si>
    <t>Global Audit Column Enforce Flag</t>
    <phoneticPr fontId="6" type="noConversion"/>
  </si>
  <si>
    <t>REM</t>
    <phoneticPr fontId="6" type="noConversion"/>
  </si>
  <si>
    <t>FMT_COLS_DW</t>
    <phoneticPr fontId="6" type="noConversion"/>
  </si>
  <si>
    <t>DW  flow: Audit columns for all dw table</t>
    <phoneticPr fontId="6" type="noConversion"/>
  </si>
  <si>
    <t>UPD_TYPE;NVARCHAR(5);更新類別;!DATA_DT;DATE;資料日期;CURRENT_DATE</t>
    <phoneticPr fontId="6" type="noConversion"/>
  </si>
  <si>
    <t>DATADT;DATE;CURRENT_STAMP!....</t>
    <phoneticPr fontId="6" type="noConversion"/>
  </si>
  <si>
    <t>UPD_TYPE;NVARCHAR(5);更新類別;!DATA_DT;DATE;資料日期;CURRENT_DATE</t>
    <phoneticPr fontId="6" type="noConversion"/>
  </si>
  <si>
    <t>ODS flow: Audit columns for surrogate key</t>
    <phoneticPr fontId="6" type="noConversion"/>
  </si>
  <si>
    <t>FMT_COLS_NOTNULL</t>
  </si>
  <si>
    <t>Define which columns should be NOT NULL</t>
    <phoneticPr fontId="6" type="noConversion"/>
  </si>
  <si>
    <t>MyTable!TheColumn</t>
    <phoneticPr fontId="6" type="noConversion"/>
  </si>
  <si>
    <t>System</t>
    <phoneticPr fontId="6" type="noConversion"/>
  </si>
  <si>
    <t>FMT_COLS_REFTYPE</t>
    <phoneticPr fontId="6" type="noConversion"/>
  </si>
  <si>
    <t>Data type convert rule for RefTable Column</t>
    <phoneticPr fontId="6" type="noConversion"/>
  </si>
  <si>
    <t>DATE=TO_DATE('{0}', 'YYYY/MM/DD')</t>
    <phoneticPr fontId="6" type="noConversion"/>
  </si>
  <si>
    <t>ODS flow: column would add trim function as default</t>
    <phoneticPr fontId="6" type="noConversion"/>
  </si>
  <si>
    <t>FMT_APP_FREEFMT</t>
    <phoneticPr fontId="6" type="noConversion"/>
  </si>
  <si>
    <t>ODS flow: Free format for append condition</t>
    <phoneticPr fontId="6" type="noConversion"/>
  </si>
  <si>
    <t>FMT_APP_DELETECOND</t>
  </si>
  <si>
    <t>ODS flow: Delete or Append condition</t>
    <phoneticPr fontId="6" type="noConversion"/>
  </si>
  <si>
    <t>FMT_ETL_VAR</t>
    <phoneticPr fontId="6" type="noConversion"/>
  </si>
  <si>
    <t>ETL Variable interpreted by subsitution or parameter</t>
    <phoneticPr fontId="6" type="noConversion"/>
  </si>
  <si>
    <t>1-Subsituion, 2-Paramter</t>
    <phoneticPr fontId="6" type="noConversion"/>
  </si>
  <si>
    <t>FMT_DRULE_COL</t>
  </si>
  <si>
    <t>Defaulting rule for colum attribue</t>
    <phoneticPr fontId="6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</si>
  <si>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</si>
  <si>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</si>
  <si>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</si>
  <si>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6" type="noConversion"/>
  </si>
  <si>
    <t>TBL_PDM_CNDESC:@TBL_PDM_TABLENAME</t>
  </si>
  <si>
    <t>UTIL_PLN_ODSJSD</t>
    <phoneticPr fontId="6" type="noConversion"/>
  </si>
  <si>
    <t>ODS Planner, Default JSD template name</t>
    <phoneticPr fontId="6" type="noConversion"/>
  </si>
  <si>
    <t>WATCH-FILE</t>
    <phoneticPr fontId="6" type="noConversion"/>
  </si>
  <si>
    <t>WATCH-FILE</t>
    <phoneticPr fontId="6" type="noConversion"/>
  </si>
  <si>
    <t>Tools</t>
    <phoneticPr fontId="6" type="noConversion"/>
  </si>
  <si>
    <t>UTIL_PLN_DWJSD</t>
    <phoneticPr fontId="6" type="noConversion"/>
  </si>
  <si>
    <t>DW Planner, Default JSD template name</t>
    <phoneticPr fontId="6" type="noConversion"/>
  </si>
  <si>
    <t>DW-MAIN</t>
    <phoneticPr fontId="6" type="noConversion"/>
  </si>
  <si>
    <t>Project</t>
    <phoneticPr fontId="6" type="noConversion"/>
  </si>
  <si>
    <t>UTIL_PLN_ODSPK</t>
    <phoneticPr fontId="6" type="noConversion"/>
  </si>
  <si>
    <t>UTIL_PLN_DWPK</t>
    <phoneticPr fontId="6" type="noConversion"/>
  </si>
  <si>
    <t>DW SYSPK for flow group</t>
    <phoneticPr fontId="6" type="noConversion"/>
  </si>
  <si>
    <t>Project</t>
    <phoneticPr fontId="6" type="noConversion"/>
  </si>
  <si>
    <t>UTIL_PLN_DEF_FLOW</t>
    <phoneticPr fontId="6" type="noConversion"/>
  </si>
  <si>
    <t>Default job flow when no precedent</t>
    <phoneticPr fontId="6" type="noConversion"/>
  </si>
  <si>
    <t>D_STG_INIT</t>
    <phoneticPr fontId="6" type="noConversion"/>
  </si>
  <si>
    <t>UTIL_PLN_DEF_JOB</t>
    <phoneticPr fontId="6" type="noConversion"/>
  </si>
  <si>
    <t>Default job when no precedent</t>
    <phoneticPr fontId="6" type="noConversion"/>
  </si>
  <si>
    <t>SYS_STS_STG</t>
  </si>
  <si>
    <t>UTIL_PLN_UPLOAD</t>
    <phoneticPr fontId="6" type="noConversion"/>
  </si>
  <si>
    <t>Upload command for planner</t>
    <phoneticPr fontId="6" type="noConversion"/>
  </si>
  <si>
    <t>cmd /c "c:\Progra~2\PuTTY\"pscp -r  -pw pwd {{DIR_OUTPUT}}\{{PRCS_ID}} tws@10.67.67.84:/home/tws/ods_planner</t>
    <phoneticPr fontId="2" type="noConversion"/>
  </si>
  <si>
    <t>UTIL_PLN_IMPORT</t>
    <phoneticPr fontId="6" type="noConversion"/>
  </si>
  <si>
    <t>Import command for planner</t>
    <phoneticPr fontId="6" type="noConversion"/>
  </si>
  <si>
    <t>cmd /c "c:\Progra~2\PuTTY\"plink  -pw pwd 10.67.67.84 -l tws ~/bin/iwsimport.sh {{PRCS_ID}}</t>
    <phoneticPr fontId="2" type="noConversion"/>
  </si>
  <si>
    <t>UTIL_PLN_LOG</t>
    <phoneticPr fontId="6" type="noConversion"/>
  </si>
  <si>
    <t>view log command for planner</t>
    <phoneticPr fontId="6" type="noConversion"/>
  </si>
  <si>
    <t>UTIL_PLN_FLOW_TYPE</t>
    <phoneticPr fontId="6" type="noConversion"/>
  </si>
  <si>
    <t>Planner: Flow type</t>
    <phoneticPr fontId="6" type="noConversion"/>
  </si>
  <si>
    <t>{DW_SYSNAME}_{SUBJECT}</t>
  </si>
  <si>
    <t>UTIL_PLN_FLOW_NAME</t>
    <phoneticPr fontId="6" type="noConversion"/>
  </si>
  <si>
    <t>Planner: Flow name</t>
    <phoneticPr fontId="6" type="noConversion"/>
  </si>
  <si>
    <t>{SRC_FREQ}_{DW_SYSNAME}_{SUBJECT}</t>
  </si>
  <si>
    <t>UTIL_PLN_BASE</t>
    <phoneticPr fontId="6" type="noConversion"/>
  </si>
  <si>
    <t xml:space="preserve">Plan base </t>
    <phoneticPr fontId="2" type="noConversion"/>
  </si>
  <si>
    <t>"DeltaPlan"</t>
    <phoneticPr fontId="2" type="noConversion"/>
  </si>
  <si>
    <t>String</t>
    <phoneticPr fontId="2" type="noConversion"/>
  </si>
  <si>
    <t>NULL</t>
    <phoneticPr fontId="2" type="noConversion"/>
  </si>
  <si>
    <t>UTIL_XLST_OUTPUT</t>
    <phoneticPr fontId="6" type="noConversion"/>
  </si>
  <si>
    <t>Filename for XLST output</t>
    <phoneticPr fontId="2" type="noConversion"/>
  </si>
  <si>
    <t>{TBL_NAME}.xml</t>
    <phoneticPr fontId="2" type="noConversion"/>
  </si>
  <si>
    <t>{TBL_NAME}.xml</t>
    <phoneticPr fontId="2" type="noConversion"/>
  </si>
  <si>
    <t>ODS process: Code converter standard</t>
    <phoneticPr fontId="6" type="noConversion"/>
  </si>
  <si>
    <t>{{UTIL_PATH}}\iconv.pl {DIR_SOURCE}{TBL_NAME}.D</t>
    <phoneticPr fontId="6" type="noConversion"/>
  </si>
  <si>
    <t>ODS process: Code converter specify encode</t>
    <phoneticPr fontId="6" type="noConversion"/>
  </si>
  <si>
    <t>{{UTIL_PATH}}\icu\bin64\uconv.exe -f {SRC_ENCODE} -t utf-8 -i --remove-signature -o {DIR_SOURCE}{TBL_NAME}.D.utf8 {DIR_SOURCE}{TBL_NAME}.D</t>
    <phoneticPr fontId="6" type="noConversion"/>
  </si>
  <si>
    <t>Tools</t>
    <phoneticPr fontId="6" type="noConversion"/>
  </si>
  <si>
    <t>ODS process: Data loader with delimeter</t>
    <phoneticPr fontId="6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</si>
  <si>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6" type="noConversion"/>
  </si>
  <si>
    <t>UTIL_LOAD_F</t>
    <phoneticPr fontId="6" type="noConversion"/>
  </si>
  <si>
    <t>ODS process: Data loader with fixed length</t>
    <phoneticPr fontId="6" type="noConversion"/>
  </si>
  <si>
    <t>UTIL_LOAD_OPT</t>
    <phoneticPr fontId="6" type="noConversion"/>
  </si>
  <si>
    <t>ODS process: Data loader extra option</t>
    <phoneticPr fontId="6" type="noConversion"/>
  </si>
  <si>
    <t>-Dateformat …</t>
    <phoneticPr fontId="6" type="noConversion"/>
  </si>
  <si>
    <t>UTIL_EXPORT</t>
    <phoneticPr fontId="6" type="noConversion"/>
  </si>
  <si>
    <t>ODS process: Data export  tools</t>
    <phoneticPr fontId="6" type="noConversion"/>
  </si>
  <si>
    <t>UTIL_PREFUNC</t>
    <phoneticPr fontId="6" type="noConversion"/>
  </si>
  <si>
    <t>pre function before SQLG</t>
    <phoneticPr fontId="6" type="noConversion"/>
  </si>
  <si>
    <t>post function before SQLG</t>
    <phoneticPr fontId="6" type="noConversion"/>
  </si>
  <si>
    <t>UTIL_USE_CTRLFILE</t>
    <phoneticPr fontId="6" type="noConversion"/>
  </si>
  <si>
    <t>Stage data load by Control File</t>
    <phoneticPr fontId="6" type="noConversion"/>
  </si>
  <si>
    <t>FALSE for Netezza and SQLServer, TRUE for Oracle</t>
    <phoneticPr fontId="6" type="noConversion"/>
  </si>
  <si>
    <t>Output</t>
    <phoneticPr fontId="6" type="noConversion"/>
  </si>
  <si>
    <t>WS_DI_SUMMARY</t>
    <phoneticPr fontId="6" type="noConversion"/>
  </si>
  <si>
    <t>Worksheet anme of Table Summary</t>
    <phoneticPr fontId="6" type="noConversion"/>
  </si>
  <si>
    <t>Template</t>
    <phoneticPr fontId="6" type="noConversion"/>
  </si>
  <si>
    <t>Worksheet name of  Mapping rule</t>
    <phoneticPr fontId="6" type="noConversion"/>
  </si>
  <si>
    <t>Worksheet name of  Source System list</t>
    <phoneticPr fontId="6" type="noConversion"/>
  </si>
  <si>
    <t>System List</t>
    <phoneticPr fontId="6" type="noConversion"/>
  </si>
  <si>
    <t>Temporary worksheet for sorting</t>
    <phoneticPr fontId="6" type="noConversion"/>
  </si>
  <si>
    <t>Depreciated</t>
    <phoneticPr fontId="6" type="noConversion"/>
  </si>
  <si>
    <t>WS_DI_CODE</t>
    <phoneticPr fontId="6" type="noConversion"/>
  </si>
  <si>
    <t xml:space="preserve">Worksheet name of Default for reference code table </t>
    <phoneticPr fontId="6" type="noConversion"/>
  </si>
  <si>
    <t>CODE_TBL</t>
    <phoneticPr fontId="6" type="noConversion"/>
  </si>
  <si>
    <t>Template</t>
    <phoneticPr fontId="6" type="noConversion"/>
  </si>
  <si>
    <t>ETL Platform</t>
    <phoneticPr fontId="6" type="noConversion"/>
  </si>
  <si>
    <t>c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</si>
  <si>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6" type="noConversion"/>
  </si>
  <si>
    <t>DW_HOST</t>
    <phoneticPr fontId="6" type="noConversion"/>
  </si>
  <si>
    <t>ETL Utility Directory</t>
    <phoneticPr fontId="6" type="noConversion"/>
  </si>
  <si>
    <t>String: File Path</t>
    <phoneticPr fontId="6" type="noConversion"/>
  </si>
  <si>
    <t>C:\IBMETL\Util\</t>
    <phoneticPr fontId="6" type="noConversion"/>
  </si>
  <si>
    <t>FILE_MERGE_NAME</t>
    <phoneticPr fontId="6" type="noConversion"/>
  </si>
  <si>
    <t>將SQL/DDL結果合併為一個檔案，檔案會放置於DIR_OUTPUT內</t>
    <phoneticPr fontId="6" type="noConversion"/>
  </si>
  <si>
    <t>{DIR_OUTPUT}{DW_SYSNAME}</t>
    <phoneticPr fontId="6" type="noConversion"/>
  </si>
  <si>
    <t>String: File Name</t>
    <phoneticPr fontId="6" type="noConversion"/>
  </si>
  <si>
    <t>FILE_STG_RENAMEFILE</t>
    <phoneticPr fontId="6" type="noConversion"/>
  </si>
  <si>
    <t>Stage檔案是否要使用rename而不是copy</t>
    <phoneticPr fontId="6" type="noConversion"/>
  </si>
  <si>
    <t>FILE_OUTPUT_OS</t>
    <phoneticPr fontId="6" type="noConversion"/>
  </si>
  <si>
    <t>執行的作業系統, SQLG會依此決定開啟檔案的方式(text or binary)及換行符號(vbnewline or vblf)</t>
    <phoneticPr fontId="6" type="noConversion"/>
  </si>
  <si>
    <t>WINDOWS, LINUX</t>
    <phoneticPr fontId="6" type="noConversion"/>
  </si>
  <si>
    <t>WINDOWS</t>
    <phoneticPr fontId="6" type="noConversion"/>
  </si>
  <si>
    <t>DIR_DBTOOL</t>
    <phoneticPr fontId="6" type="noConversion"/>
  </si>
  <si>
    <t>DB client tool directory</t>
    <phoneticPr fontId="6" type="noConversion"/>
  </si>
  <si>
    <t>{{END.DT}}='20171001'!{{END.DT.CHAR}}='20171001'!{{MN.BEG.DT}}=2017-10-01</t>
  </si>
  <si>
    <t>CUSTOMER</t>
    <phoneticPr fontId="6" type="noConversion"/>
  </si>
  <si>
    <t>airflow.cfg</t>
    <phoneticPr fontId="2" type="noConversion"/>
  </si>
  <si>
    <t>STAGING,DWH</t>
    <phoneticPr fontId="6" type="noConversion"/>
  </si>
  <si>
    <t>STAGING, ds_nodash ,DWH</t>
    <phoneticPr fontId="6" type="noConversion"/>
  </si>
  <si>
    <t>INT</t>
  </si>
  <si>
    <t>FLOAT</t>
  </si>
  <si>
    <t>INT</t>
    <phoneticPr fontId="2" type="noConversion"/>
  </si>
  <si>
    <t>UPSERT1</t>
    <phoneticPr fontId="6" type="noConversion"/>
  </si>
  <si>
    <t>FMT_TBLCMT_TEMP</t>
  </si>
  <si>
    <t>FMT_TBLCMT_SNAPS</t>
  </si>
  <si>
    <t>_Historical Temp Table</t>
    <phoneticPr fontId="2" type="noConversion"/>
  </si>
  <si>
    <t>_Process Temp Table</t>
    <phoneticPr fontId="2" type="noConversion"/>
  </si>
  <si>
    <t xml:space="preserve"> {{END.DT.CHAR}}</t>
  </si>
  <si>
    <t>demo.cfg</t>
    <phoneticPr fontId="2" type="noConversion"/>
  </si>
  <si>
    <t>..\etl_home\etl_base\sql\</t>
    <phoneticPr fontId="6" type="noConversion"/>
  </si>
  <si>
    <t>C:\Proj\GitHub\airflow\sqlg-with-airflow\etl_home\etl_base\sql</t>
  </si>
  <si>
    <t>LINUX</t>
    <phoneticPr fontId="2" type="noConversion"/>
  </si>
  <si>
    <t>ETL_STRT_DT</t>
    <phoneticPr fontId="2" type="noConversion"/>
  </si>
  <si>
    <t>airflow.utils.dates.days_ago(7)</t>
    <phoneticPr fontId="2" type="noConversion"/>
  </si>
  <si>
    <t>17:59:11.00![SYS]![LOGEND]!0!&lt;&lt;&lt;&lt;&lt;&lt;&lt;&lt;&lt;&lt;&lt;&lt;&lt;&lt;&lt;[2018-08-12]@[17:59:11]</t>
  </si>
  <si>
    <t>18:07:24.00![DEBUG]!Workbook_Close</t>
    <phoneticPr fontId="2" type="noConversion"/>
  </si>
  <si>
    <t>VERSION: 01-0802-22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</si>
</sst>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0;[Red]0"/>
    <numFmt numFmtId="178" formatCode="yyyy/m/d;@"/>
    <numFmt numFmtId="179" formatCode="g/&quot;通&quot;&quot;用&quot;&quot;格&quot;&quot;式&quot;"/>
  </numFmts>
  <fonts count="31" x14ac:knownFonts="1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1"/>
      <color indexed="8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00"/>
      <name val="Arial"/>
      <family val="2"/>
    </font>
    <font>
      <u/>
      <sz val="11"/>
      <color theme="10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0" fontId="22" fillId="12" borderId="12" applyNumberFormat="0" applyAlignment="0" applyProtection="0">
      <alignment vertical="center"/>
    </xf>
    <xf numFmtId="176" fontId="29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wrapText="1"/>
    </xf>
    <xf numFmtId="0" fontId="3" fillId="0" borderId="1" xfId="0" applyFont="1" applyBorder="1" applyAlignment="1"/>
    <xf numFmtId="0" fontId="3" fillId="0" borderId="1" xfId="0" applyFont="1" applyBorder="1" applyAlignment="1">
      <alignment wrapText="1"/>
    </xf>
    <xf numFmtId="0" fontId="3" fillId="0" borderId="0" xfId="0" applyFont="1" applyFill="1" applyAlignment="1"/>
    <xf numFmtId="0" fontId="3" fillId="0" borderId="0" xfId="0" applyFont="1" applyAlignment="1"/>
    <xf numFmtId="0" fontId="4" fillId="3" borderId="1" xfId="0" applyFont="1" applyFill="1" applyBorder="1" applyAlignment="1"/>
    <xf numFmtId="0" fontId="3" fillId="13" borderId="0" xfId="0" applyFont="1" applyFill="1" applyAlignment="1"/>
    <xf numFmtId="0" fontId="3" fillId="14" borderId="0" xfId="0" applyFont="1" applyFill="1" applyAlignment="1"/>
    <xf numFmtId="0" fontId="23" fillId="15" borderId="13" xfId="0" applyFont="1" applyFill="1" applyBorder="1" applyAlignment="1"/>
    <xf numFmtId="0" fontId="23" fillId="16" borderId="14" xfId="0" applyFont="1" applyFill="1" applyBorder="1" applyAlignment="1"/>
    <xf numFmtId="0" fontId="23" fillId="16" borderId="0" xfId="0" applyNumberFormat="1" applyFont="1" applyFill="1" applyBorder="1" applyAlignment="1"/>
    <xf numFmtId="0" fontId="23" fillId="16" borderId="0" xfId="0" applyFont="1" applyFill="1" applyBorder="1" applyAlignment="1"/>
    <xf numFmtId="0" fontId="24" fillId="14" borderId="15" xfId="0" applyFont="1" applyFill="1" applyBorder="1" applyAlignment="1">
      <alignment horizontal="left" vertical="center" wrapText="1" indent="1" readingOrder="1"/>
    </xf>
    <xf numFmtId="0" fontId="3" fillId="0" borderId="2" xfId="0" applyFont="1" applyFill="1" applyBorder="1" applyAlignment="1"/>
    <xf numFmtId="0" fontId="7" fillId="0" borderId="16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4" fillId="0" borderId="15" xfId="0" applyFont="1" applyBorder="1" applyAlignment="1">
      <alignment horizontal="left" vertical="center" wrapText="1" indent="1" readingOrder="1"/>
    </xf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/>
    <xf numFmtId="0" fontId="23" fillId="0" borderId="0" xfId="0" applyFont="1" applyFill="1" applyBorder="1" applyAlignment="1"/>
    <xf numFmtId="0" fontId="0" fillId="0" borderId="0" xfId="0" applyAlignment="1"/>
    <xf numFmtId="0" fontId="0" fillId="0" borderId="0" xfId="0" applyFill="1" applyAlignment="1"/>
    <xf numFmtId="0" fontId="0" fillId="17" borderId="0" xfId="0" applyFill="1" applyAlignment="1"/>
    <xf numFmtId="0" fontId="4" fillId="6" borderId="1" xfId="0" applyFont="1" applyFill="1" applyBorder="1" applyAlignment="1">
      <alignment horizontal="center" vertical="top" wrapText="1"/>
    </xf>
    <xf numFmtId="177" fontId="4" fillId="6" borderId="1" xfId="0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/>
    <xf numFmtId="0" fontId="0" fillId="0" borderId="0" xfId="0" applyNumberFormat="1" applyFont="1" applyFill="1" applyAlignment="1"/>
    <xf numFmtId="0" fontId="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15" fontId="4" fillId="8" borderId="3" xfId="0" applyNumberFormat="1" applyFont="1" applyFill="1" applyBorder="1" applyAlignment="1">
      <alignment horizontal="center" vertical="center" wrapText="1"/>
    </xf>
    <xf numFmtId="15" fontId="4" fillId="9" borderId="3" xfId="0" applyNumberFormat="1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0" xfId="0" applyNumberFormat="1" applyFont="1" applyFill="1" applyBorder="1" applyAlignment="1">
      <alignment vertical="center"/>
    </xf>
    <xf numFmtId="0" fontId="4" fillId="0" borderId="20" xfId="0" applyNumberFormat="1" applyFont="1" applyFill="1" applyBorder="1" applyAlignment="1">
      <alignment horizontal="left" vertical="top"/>
    </xf>
    <xf numFmtId="0" fontId="4" fillId="0" borderId="21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22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18" borderId="0" xfId="0" applyFont="1" applyFill="1" applyBorder="1" applyAlignment="1"/>
    <xf numFmtId="0" fontId="3" fillId="18" borderId="0" xfId="0" quotePrefix="1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/>
    </xf>
    <xf numFmtId="0" fontId="3" fillId="14" borderId="0" xfId="0" applyFont="1" applyFill="1" applyBorder="1" applyAlignment="1"/>
    <xf numFmtId="0" fontId="3" fillId="0" borderId="1" xfId="0" applyFont="1" applyBorder="1" applyAlignment="1">
      <alignment vertical="top"/>
    </xf>
    <xf numFmtId="0" fontId="23" fillId="0" borderId="24" xfId="0" applyFont="1" applyFill="1" applyBorder="1">
      <alignment vertical="center"/>
    </xf>
    <xf numFmtId="0" fontId="23" fillId="0" borderId="25" xfId="0" applyFont="1" applyFill="1" applyBorder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 wrapText="1"/>
    </xf>
    <xf numFmtId="0" fontId="4" fillId="11" borderId="3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Fill="1" applyBorder="1" applyAlignment="1"/>
    <xf numFmtId="176" fontId="3" fillId="14" borderId="0" xfId="0" applyNumberFormat="1" applyFont="1" applyFill="1" applyBorder="1" applyAlignment="1">
      <alignment horizontal="left"/>
    </xf>
    <xf numFmtId="14" fontId="3" fillId="0" borderId="0" xfId="0" quotePrefix="1" applyNumberFormat="1" applyFont="1" applyFill="1" applyBorder="1" applyAlignment="1">
      <alignment horizontal="left"/>
    </xf>
    <xf numFmtId="178" fontId="3" fillId="0" borderId="0" xfId="0" applyNumberFormat="1" applyFont="1" applyAlignment="1"/>
    <xf numFmtId="178" fontId="3" fillId="0" borderId="26" xfId="0" applyNumberFormat="1" applyFont="1" applyBorder="1" applyAlignment="1"/>
    <xf numFmtId="178" fontId="3" fillId="0" borderId="26" xfId="0" quotePrefix="1" applyNumberFormat="1" applyFont="1" applyFill="1" applyBorder="1" applyAlignment="1">
      <alignment horizontal="right"/>
    </xf>
    <xf numFmtId="178" fontId="3" fillId="0" borderId="0" xfId="0" applyNumberFormat="1" applyFont="1" applyFill="1" applyAlignment="1">
      <alignment vertical="top" wrapText="1"/>
    </xf>
    <xf numFmtId="176" fontId="23" fillId="0" borderId="24" xfId="0" applyNumberFormat="1" applyFont="1" applyFill="1" applyBorder="1">
      <alignment vertical="center"/>
    </xf>
    <xf numFmtId="176" fontId="27" fillId="0" borderId="24" xfId="0" applyNumberFormat="1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7" fillId="0" borderId="0" xfId="0" applyFont="1" applyFill="1" applyBorder="1" applyAlignment="1">
      <alignment vertical="top"/>
    </xf>
    <xf numFmtId="0" fontId="4" fillId="6" borderId="1" xfId="0" applyFont="1" applyFill="1" applyBorder="1" applyAlignment="1">
      <alignment horizontal="left" vertical="top" wrapText="1"/>
    </xf>
    <xf numFmtId="0" fontId="23" fillId="0" borderId="25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176" fontId="27" fillId="0" borderId="24" xfId="0" applyNumberFormat="1" applyFont="1" applyFill="1" applyBorder="1" applyAlignment="1">
      <alignment vertical="center"/>
    </xf>
    <xf numFmtId="176" fontId="1" fillId="0" borderId="24" xfId="0" applyNumberFormat="1" applyFont="1" applyFill="1" applyBorder="1">
      <alignment vertical="center"/>
    </xf>
    <xf numFmtId="0" fontId="3" fillId="19" borderId="1" xfId="0" applyNumberFormat="1" applyFont="1" applyFill="1" applyBorder="1" applyAlignment="1" applyProtection="1">
      <alignment vertical="center"/>
    </xf>
    <xf numFmtId="0" fontId="9" fillId="1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quotePrefix="1" applyFont="1" applyBorder="1" applyAlignment="1">
      <alignment horizontal="center" vertical="center" wrapText="1"/>
    </xf>
    <xf numFmtId="179" fontId="3" fillId="0" borderId="2" xfId="0" applyNumberFormat="1" applyFont="1" applyFill="1" applyBorder="1" applyAlignment="1"/>
    <xf numFmtId="0" fontId="1" fillId="0" borderId="24" xfId="0" applyFont="1" applyFill="1" applyBorder="1">
      <alignment vertical="center"/>
    </xf>
    <xf numFmtId="0" fontId="1" fillId="14" borderId="24" xfId="0" applyFont="1" applyFill="1" applyBorder="1">
      <alignment vertical="center"/>
    </xf>
    <xf numFmtId="0" fontId="23" fillId="14" borderId="25" xfId="0" applyFont="1" applyFill="1" applyBorder="1">
      <alignment vertical="center"/>
    </xf>
    <xf numFmtId="0" fontId="3" fillId="14" borderId="0" xfId="0" applyFont="1" applyFill="1" applyBorder="1" applyAlignment="1">
      <alignment vertical="top" wrapText="1"/>
    </xf>
    <xf numFmtId="0" fontId="23" fillId="14" borderId="25" xfId="0" applyFont="1" applyFill="1" applyBorder="1" applyAlignment="1">
      <alignment horizontal="left" vertical="center"/>
    </xf>
    <xf numFmtId="0" fontId="23" fillId="14" borderId="24" xfId="0" applyFont="1" applyFill="1" applyBorder="1">
      <alignment vertical="center"/>
    </xf>
    <xf numFmtId="0" fontId="3" fillId="14" borderId="0" xfId="0" applyFont="1" applyFill="1" applyAlignment="1">
      <alignment vertical="top" wrapText="1"/>
    </xf>
    <xf numFmtId="0" fontId="3" fillId="14" borderId="0" xfId="0" applyFont="1" applyFill="1" applyBorder="1" applyAlignment="1">
      <alignment vertical="top"/>
    </xf>
    <xf numFmtId="0" fontId="3" fillId="14" borderId="0" xfId="0" applyFont="1" applyFill="1" applyAlignment="1">
      <alignment vertical="top"/>
    </xf>
    <xf numFmtId="0" fontId="3" fillId="14" borderId="0" xfId="0" applyFont="1" applyFill="1" applyAlignment="1">
      <alignment horizontal="left" vertical="top"/>
    </xf>
    <xf numFmtId="179" fontId="0" fillId="0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/>
    </xf>
    <xf numFmtId="179" fontId="0" fillId="0" borderId="0" xfId="0" quotePrefix="1" applyNumberFormat="1" applyFont="1" applyFill="1" applyAlignment="1">
      <alignment horizontal="left" vertical="top"/>
    </xf>
    <xf numFmtId="179" fontId="0" fillId="0" borderId="17" xfId="0" applyNumberFormat="1" applyFont="1" applyFill="1" applyBorder="1" applyAlignment="1">
      <alignment vertical="top"/>
    </xf>
    <xf numFmtId="179" fontId="9" fillId="0" borderId="0" xfId="0" applyNumberFormat="1" applyFont="1" applyFill="1" applyAlignment="1">
      <alignment horizontal="left" vertical="top"/>
    </xf>
    <xf numFmtId="179" fontId="25" fillId="0" borderId="0" xfId="0" applyNumberFormat="1" applyFont="1" applyFill="1" applyAlignment="1">
      <alignment vertical="top"/>
    </xf>
    <xf numFmtId="179" fontId="0" fillId="0" borderId="18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vertical="top"/>
    </xf>
    <xf numFmtId="179" fontId="0" fillId="0" borderId="0" xfId="0" quotePrefix="1" applyNumberFormat="1" applyFill="1" applyAlignment="1"/>
    <xf numFmtId="179" fontId="3" fillId="0" borderId="0" xfId="0" quotePrefix="1" applyNumberFormat="1" applyFont="1" applyFill="1" applyAlignment="1">
      <alignment horizontal="left" vertical="top"/>
    </xf>
    <xf numFmtId="179" fontId="0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horizontal="left" vertical="top"/>
    </xf>
    <xf numFmtId="179" fontId="0" fillId="14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 wrapText="1"/>
    </xf>
    <xf numFmtId="179" fontId="0" fillId="20" borderId="0" xfId="0" applyNumberFormat="1" applyFont="1" applyFill="1" applyAlignment="1"/>
    <xf numFmtId="179" fontId="0" fillId="0" borderId="0" xfId="0" applyNumberFormat="1" applyFont="1" applyFill="1" applyAlignment="1"/>
    <xf numFmtId="179" fontId="26" fillId="0" borderId="19" xfId="0" applyNumberFormat="1" applyFont="1" applyFill="1" applyBorder="1" applyAlignment="1">
      <alignment horizontal="left" vertical="top"/>
    </xf>
    <xf numFmtId="179" fontId="3" fillId="0" borderId="0" xfId="0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vertical="top"/>
    </xf>
    <xf numFmtId="179" fontId="0" fillId="0" borderId="0" xfId="0" applyNumberFormat="1" applyFont="1" applyFill="1" applyAlignment="1">
      <alignment horizontal="left" vertical="center"/>
    </xf>
    <xf numFmtId="179" fontId="13" fillId="0" borderId="0" xfId="0" applyNumberFormat="1" applyFont="1" applyFill="1" applyAlignment="1">
      <alignment vertical="top"/>
    </xf>
    <xf numFmtId="179" fontId="9" fillId="0" borderId="0" xfId="0" applyNumberFormat="1" applyFont="1" applyFill="1" applyAlignment="1">
      <alignment vertical="top"/>
    </xf>
    <xf numFmtId="179" fontId="9" fillId="0" borderId="17" xfId="0" applyNumberFormat="1" applyFont="1" applyFill="1" applyBorder="1" applyAlignment="1">
      <alignment vertical="top"/>
    </xf>
    <xf numFmtId="179" fontId="9" fillId="0" borderId="18" xfId="0" applyNumberFormat="1" applyFont="1" applyFill="1" applyBorder="1" applyAlignment="1">
      <alignment vertical="top"/>
    </xf>
    <xf numFmtId="179" fontId="0" fillId="0" borderId="23" xfId="1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horizontal="left" vertical="top"/>
    </xf>
    <xf numFmtId="0" fontId="1" fillId="14" borderId="25" xfId="0" applyFont="1" applyFill="1" applyBorder="1" applyAlignment="1">
      <alignment horizontal="left" vertical="center"/>
    </xf>
    <xf numFmtId="179" fontId="1" fillId="0" borderId="0" xfId="0" applyNumberFormat="1" applyFont="1" applyFill="1" applyAlignment="1"/>
    <xf numFmtId="0" fontId="4" fillId="9" borderId="7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top" wrapText="1"/>
    </xf>
    <xf numFmtId="0" fontId="4" fillId="6" borderId="10" xfId="0" applyFont="1" applyFill="1" applyBorder="1" applyAlignment="1">
      <alignment horizontal="center" vertical="top" wrapText="1"/>
    </xf>
    <xf numFmtId="0" fontId="4" fillId="6" borderId="1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4" fillId="2" borderId="9" xfId="0" applyNumberFormat="1" applyFont="1" applyFill="1" applyBorder="1" applyAlignment="1">
      <alignment horizontal="center" vertical="top" wrapText="1"/>
    </xf>
    <xf numFmtId="0" fontId="4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7" borderId="7" xfId="0" applyFont="1" applyFill="1" applyBorder="1" applyAlignment="1">
      <alignment horizontal="center" vertical="top" wrapText="1"/>
    </xf>
    <xf numFmtId="0" fontId="4" fillId="7" borderId="6" xfId="0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</cellXfs>
  <cellStyles count="3">
    <cellStyle name="Hyperlink 2" xfId="2" xr:uid="{00000000-0005-0000-0000-000000000000}"/>
    <cellStyle name="Input" xfId="1" builtinId="20"/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19830" name="AutoShape 13939">
          <a:extLst>
            <a:ext uri="{FF2B5EF4-FFF2-40B4-BE49-F238E27FC236}">
              <a16:creationId xmlns:a16="http://schemas.microsoft.com/office/drawing/2014/main" id="{00000000-0008-0000-0000-0000764D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19831" name="AutoShape 13937">
          <a:extLst>
            <a:ext uri="{FF2B5EF4-FFF2-40B4-BE49-F238E27FC236}">
              <a16:creationId xmlns:a16="http://schemas.microsoft.com/office/drawing/2014/main" id="{00000000-0008-0000-0000-0000774D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0</xdr:row>
          <xdr:rowOff>7620</xdr:rowOff>
        </xdr:from>
        <xdr:to>
          <xdr:col>4</xdr:col>
          <xdr:colOff>1097280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WEI/Desktop/excel-addin/sqlg/addin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</sheetNames>
    <definedNames>
      <definedName name="diref"/>
      <definedName name="vtprint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D14" totalsRowShown="0" headerRowDxfId="16" headerRowBorderDxfId="15" tableBorderDxfId="14">
  <autoFilter ref="A1:D14" xr:uid="{00000000-0009-0000-0100-000001000000}">
    <filterColumn colId="0" hiddenButton="1"/>
    <filterColumn colId="1" hiddenButton="1"/>
  </autoFilter>
  <tableColumns count="4">
    <tableColumn id="1" xr3:uid="{00000000-0010-0000-0000-000001000000}" name="Parameter Name" dataDxfId="13"/>
    <tableColumn id="2" xr3:uid="{00000000-0010-0000-0000-000002000000}" name="Parameter Value" dataDxfId="12"/>
    <tableColumn id="3" xr3:uid="{00000000-0010-0000-0000-000003000000}" name="Comment" dataDxfId="11"/>
    <tableColumn id="4" xr3:uid="{00000000-0010-0000-0000-000004000000}" name="Default Value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U1:AB160" totalsRowShown="0" headerRowDxfId="9" dataDxfId="8">
  <autoFilter ref="U1:AB160" xr:uid="{00000000-0009-0000-0100-000004010000}"/>
  <tableColumns count="8">
    <tableColumn id="1" xr3:uid="{00000000-0010-0000-0100-000001000000}" name="Code" dataDxfId="7"/>
    <tableColumn id="2" xr3:uid="{00000000-0010-0000-0100-000002000000}" name="Description" dataDxfId="6"/>
    <tableColumn id="3" xr3:uid="{00000000-0010-0000-0100-000003000000}" name="Example" dataDxfId="5"/>
    <tableColumn id="4" xr3:uid="{00000000-0010-0000-0100-000004000000}" name="Domain" dataDxfId="4"/>
    <tableColumn id="5" xr3:uid="{00000000-0010-0000-0100-000005000000}" name="Default Value" dataDxfId="3"/>
    <tableColumn id="6" xr3:uid="{00000000-0010-0000-0100-000006000000}" name="Type" dataDxfId="2"/>
    <tableColumn id="7" xr3:uid="{00000000-0010-0000-0100-000007000000}" name="Scope" dataDxfId="1"/>
    <tableColumn id="8" xr3:uid="{00000000-0010-0000-0100-000008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AD6"/>
  <sheetViews>
    <sheetView zoomScale="85" zoomScaleNormal="85" workbookViewId="0">
      <selection activeCell="D14" sqref="D14"/>
    </sheetView>
  </sheetViews>
  <sheetFormatPr defaultColWidth="8.8984375" defaultRowHeight="14.4" x14ac:dyDescent="0.3"/>
  <cols>
    <col min="1" max="1" width="8.09765625" style="9" customWidth="1"/>
    <col min="2" max="2" width="44.796875" style="9" customWidth="1"/>
    <col min="3" max="3" width="19.3984375" style="9" customWidth="1"/>
    <col min="4" max="4" width="36.09765625" style="9" customWidth="1"/>
    <col min="5" max="5" width="46.8984375" style="9" customWidth="1"/>
    <col min="6" max="6" width="48.8984375" style="9" customWidth="1"/>
    <col min="7" max="16384" width="8.8984375" style="9"/>
  </cols>
  <sheetData>
    <row r="1" spans="1:30" s="3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30" ht="43.2" x14ac:dyDescent="0.3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43.2" x14ac:dyDescent="0.3">
      <c r="A3" s="4">
        <v>2</v>
      </c>
      <c r="B3" s="10" t="s">
        <v>11</v>
      </c>
      <c r="C3" s="6" t="s">
        <v>12</v>
      </c>
      <c r="D3" s="7" t="s">
        <v>8</v>
      </c>
      <c r="E3" s="7" t="s">
        <v>9</v>
      </c>
      <c r="F3" s="6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3">
      <c r="A4" s="4">
        <v>3</v>
      </c>
      <c r="B4" s="10" t="s">
        <v>13</v>
      </c>
      <c r="C4" s="6" t="s">
        <v>7</v>
      </c>
      <c r="D4" s="6"/>
      <c r="E4" s="7" t="s">
        <v>14</v>
      </c>
      <c r="F4" s="6" t="s">
        <v>15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57.6" x14ac:dyDescent="0.3">
      <c r="A5" s="4">
        <v>4</v>
      </c>
      <c r="B5" s="10" t="s">
        <v>16</v>
      </c>
      <c r="C5" s="6" t="s">
        <v>12</v>
      </c>
      <c r="D5" s="7" t="s">
        <v>8</v>
      </c>
      <c r="E5" s="7" t="s">
        <v>17</v>
      </c>
      <c r="F5" s="6" t="s">
        <v>18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x14ac:dyDescent="0.3">
      <c r="A6" s="4">
        <v>5</v>
      </c>
      <c r="B6" s="10" t="s">
        <v>19</v>
      </c>
      <c r="C6" s="6"/>
      <c r="D6" s="7"/>
      <c r="E6" s="7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B840"/>
  <sheetViews>
    <sheetView topLeftCell="A129" workbookViewId="0">
      <selection activeCell="B137" sqref="B137"/>
    </sheetView>
  </sheetViews>
  <sheetFormatPr defaultRowHeight="14.4" x14ac:dyDescent="0.3"/>
  <cols>
    <col min="1" max="1" width="33.8984375" customWidth="1"/>
    <col min="2" max="2" width="28.19921875" customWidth="1"/>
  </cols>
  <sheetData>
    <row r="1" spans="1:2" x14ac:dyDescent="0.3">
      <c r="A1" t="s">
        <v>442</v>
      </c>
      <c r="B1" t="s">
        <v>443</v>
      </c>
    </row>
    <row r="2" spans="1:2" hidden="1" x14ac:dyDescent="0.3">
      <c r="A2" t="s">
        <v>444</v>
      </c>
      <c r="B2" t="e">
        <f>VLOOKUP(A2,'Table Summary'!B:B,1,FALSE)</f>
        <v>#N/A</v>
      </c>
    </row>
    <row r="3" spans="1:2" hidden="1" x14ac:dyDescent="0.3">
      <c r="A3" t="s">
        <v>445</v>
      </c>
      <c r="B3" t="e">
        <f>VLOOKUP(A3,'Table Summary'!B:B,1,FALSE)</f>
        <v>#N/A</v>
      </c>
    </row>
    <row r="4" spans="1:2" hidden="1" x14ac:dyDescent="0.3">
      <c r="A4" t="s">
        <v>446</v>
      </c>
      <c r="B4" t="e">
        <f>VLOOKUP(A4,'Table Summary'!B:B,1,FALSE)</f>
        <v>#N/A</v>
      </c>
    </row>
    <row r="5" spans="1:2" hidden="1" x14ac:dyDescent="0.3">
      <c r="A5" t="s">
        <v>447</v>
      </c>
      <c r="B5" t="e">
        <f>VLOOKUP(A5,'Table Summary'!B:B,1,FALSE)</f>
        <v>#N/A</v>
      </c>
    </row>
    <row r="6" spans="1:2" hidden="1" x14ac:dyDescent="0.3">
      <c r="A6" t="s">
        <v>448</v>
      </c>
      <c r="B6" t="e">
        <f>VLOOKUP(A6,'Table Summary'!B:B,1,FALSE)</f>
        <v>#N/A</v>
      </c>
    </row>
    <row r="7" spans="1:2" hidden="1" x14ac:dyDescent="0.3">
      <c r="A7" t="s">
        <v>449</v>
      </c>
      <c r="B7" t="e">
        <f>VLOOKUP(A7,'Table Summary'!B:B,1,FALSE)</f>
        <v>#N/A</v>
      </c>
    </row>
    <row r="8" spans="1:2" hidden="1" x14ac:dyDescent="0.3">
      <c r="A8" t="s">
        <v>450</v>
      </c>
      <c r="B8" t="e">
        <f>VLOOKUP(A8,'Table Summary'!B:B,1,FALSE)</f>
        <v>#N/A</v>
      </c>
    </row>
    <row r="9" spans="1:2" hidden="1" x14ac:dyDescent="0.3">
      <c r="A9" t="s">
        <v>451</v>
      </c>
      <c r="B9" t="e">
        <f>VLOOKUP(A9,'Table Summary'!B:B,1,FALSE)</f>
        <v>#N/A</v>
      </c>
    </row>
    <row r="10" spans="1:2" hidden="1" x14ac:dyDescent="0.3">
      <c r="A10" t="s">
        <v>452</v>
      </c>
      <c r="B10" t="e">
        <f>VLOOKUP(A10,'Table Summary'!B:B,1,FALSE)</f>
        <v>#N/A</v>
      </c>
    </row>
    <row r="11" spans="1:2" hidden="1" x14ac:dyDescent="0.3">
      <c r="A11" t="s">
        <v>453</v>
      </c>
      <c r="B11" t="e">
        <f>VLOOKUP(A11,'Table Summary'!B:B,1,FALSE)</f>
        <v>#N/A</v>
      </c>
    </row>
    <row r="12" spans="1:2" hidden="1" x14ac:dyDescent="0.3">
      <c r="A12" t="s">
        <v>454</v>
      </c>
      <c r="B12" t="e">
        <f>VLOOKUP(A12,'Table Summary'!B:B,1,FALSE)</f>
        <v>#N/A</v>
      </c>
    </row>
    <row r="13" spans="1:2" hidden="1" x14ac:dyDescent="0.3">
      <c r="A13" t="s">
        <v>455</v>
      </c>
      <c r="B13" t="e">
        <f>VLOOKUP(A13,'Table Summary'!B:B,1,FALSE)</f>
        <v>#N/A</v>
      </c>
    </row>
    <row r="14" spans="1:2" hidden="1" x14ac:dyDescent="0.3">
      <c r="A14" t="s">
        <v>456</v>
      </c>
      <c r="B14" t="e">
        <f>VLOOKUP(A14,'Table Summary'!B:B,1,FALSE)</f>
        <v>#N/A</v>
      </c>
    </row>
    <row r="15" spans="1:2" hidden="1" x14ac:dyDescent="0.3">
      <c r="A15" t="s">
        <v>457</v>
      </c>
      <c r="B15" t="e">
        <f>VLOOKUP(A15,'Table Summary'!B:B,1,FALSE)</f>
        <v>#N/A</v>
      </c>
    </row>
    <row r="16" spans="1:2" hidden="1" x14ac:dyDescent="0.3">
      <c r="A16" t="s">
        <v>458</v>
      </c>
      <c r="B16" t="e">
        <f>VLOOKUP(A16,'Table Summary'!B:B,1,FALSE)</f>
        <v>#N/A</v>
      </c>
    </row>
    <row r="17" spans="1:2" hidden="1" x14ac:dyDescent="0.3">
      <c r="A17" t="s">
        <v>459</v>
      </c>
      <c r="B17" t="e">
        <f>VLOOKUP(A17,'Table Summary'!B:B,1,FALSE)</f>
        <v>#N/A</v>
      </c>
    </row>
    <row r="18" spans="1:2" hidden="1" x14ac:dyDescent="0.3">
      <c r="A18" t="s">
        <v>460</v>
      </c>
      <c r="B18" t="e">
        <f>VLOOKUP(A18,'Table Summary'!B:B,1,FALSE)</f>
        <v>#N/A</v>
      </c>
    </row>
    <row r="19" spans="1:2" hidden="1" x14ac:dyDescent="0.3">
      <c r="A19" t="s">
        <v>461</v>
      </c>
      <c r="B19" t="e">
        <f>VLOOKUP(A19,'Table Summary'!B:B,1,FALSE)</f>
        <v>#N/A</v>
      </c>
    </row>
    <row r="20" spans="1:2" hidden="1" x14ac:dyDescent="0.3">
      <c r="A20" t="s">
        <v>462</v>
      </c>
      <c r="B20" t="e">
        <f>VLOOKUP(A20,'Table Summary'!B:B,1,FALSE)</f>
        <v>#N/A</v>
      </c>
    </row>
    <row r="21" spans="1:2" hidden="1" x14ac:dyDescent="0.3">
      <c r="A21" t="s">
        <v>463</v>
      </c>
      <c r="B21" t="e">
        <f>VLOOKUP(A21,'Table Summary'!B:B,1,FALSE)</f>
        <v>#N/A</v>
      </c>
    </row>
    <row r="22" spans="1:2" hidden="1" x14ac:dyDescent="0.3">
      <c r="A22" t="s">
        <v>464</v>
      </c>
      <c r="B22" t="e">
        <f>VLOOKUP(A22,'Table Summary'!B:B,1,FALSE)</f>
        <v>#N/A</v>
      </c>
    </row>
    <row r="23" spans="1:2" hidden="1" x14ac:dyDescent="0.3">
      <c r="A23" t="s">
        <v>465</v>
      </c>
      <c r="B23" t="e">
        <f>VLOOKUP(A23,'Table Summary'!B:B,1,FALSE)</f>
        <v>#N/A</v>
      </c>
    </row>
    <row r="24" spans="1:2" hidden="1" x14ac:dyDescent="0.3">
      <c r="A24" t="s">
        <v>466</v>
      </c>
      <c r="B24" t="e">
        <f>VLOOKUP(A24,'Table Summary'!B:B,1,FALSE)</f>
        <v>#N/A</v>
      </c>
    </row>
    <row r="25" spans="1:2" hidden="1" x14ac:dyDescent="0.3">
      <c r="A25" t="s">
        <v>467</v>
      </c>
      <c r="B25" t="e">
        <f>VLOOKUP(A25,'Table Summary'!B:B,1,FALSE)</f>
        <v>#N/A</v>
      </c>
    </row>
    <row r="26" spans="1:2" hidden="1" x14ac:dyDescent="0.3">
      <c r="A26" t="s">
        <v>468</v>
      </c>
      <c r="B26" t="e">
        <f>VLOOKUP(A26,'Table Summary'!B:B,1,FALSE)</f>
        <v>#N/A</v>
      </c>
    </row>
    <row r="27" spans="1:2" hidden="1" x14ac:dyDescent="0.3">
      <c r="A27" t="s">
        <v>469</v>
      </c>
      <c r="B27" t="e">
        <f>VLOOKUP(A27,'Table Summary'!B:B,1,FALSE)</f>
        <v>#N/A</v>
      </c>
    </row>
    <row r="28" spans="1:2" hidden="1" x14ac:dyDescent="0.3">
      <c r="A28" t="s">
        <v>470</v>
      </c>
      <c r="B28" t="e">
        <f>VLOOKUP(A28,'Table Summary'!B:B,1,FALSE)</f>
        <v>#N/A</v>
      </c>
    </row>
    <row r="29" spans="1:2" hidden="1" x14ac:dyDescent="0.3">
      <c r="A29" t="s">
        <v>471</v>
      </c>
      <c r="B29" t="e">
        <f>VLOOKUP(A29,'Table Summary'!B:B,1,FALSE)</f>
        <v>#N/A</v>
      </c>
    </row>
    <row r="30" spans="1:2" hidden="1" x14ac:dyDescent="0.3">
      <c r="A30" t="s">
        <v>472</v>
      </c>
      <c r="B30" t="e">
        <f>VLOOKUP(A30,'Table Summary'!B:B,1,FALSE)</f>
        <v>#N/A</v>
      </c>
    </row>
    <row r="31" spans="1:2" hidden="1" x14ac:dyDescent="0.3">
      <c r="A31" t="s">
        <v>473</v>
      </c>
      <c r="B31" t="e">
        <f>VLOOKUP(A31,'Table Summary'!B:B,1,FALSE)</f>
        <v>#N/A</v>
      </c>
    </row>
    <row r="32" spans="1:2" hidden="1" x14ac:dyDescent="0.3">
      <c r="A32" t="s">
        <v>474</v>
      </c>
      <c r="B32" t="e">
        <f>VLOOKUP(A32,'Table Summary'!B:B,1,FALSE)</f>
        <v>#N/A</v>
      </c>
    </row>
    <row r="33" spans="1:2" hidden="1" x14ac:dyDescent="0.3">
      <c r="A33" t="s">
        <v>475</v>
      </c>
      <c r="B33" t="e">
        <f>VLOOKUP(A33,'Table Summary'!B:B,1,FALSE)</f>
        <v>#N/A</v>
      </c>
    </row>
    <row r="34" spans="1:2" hidden="1" x14ac:dyDescent="0.3">
      <c r="A34" t="s">
        <v>476</v>
      </c>
      <c r="B34" t="e">
        <f>VLOOKUP(A34,'Table Summary'!B:B,1,FALSE)</f>
        <v>#N/A</v>
      </c>
    </row>
    <row r="35" spans="1:2" hidden="1" x14ac:dyDescent="0.3">
      <c r="A35" t="s">
        <v>477</v>
      </c>
      <c r="B35" t="e">
        <f>VLOOKUP(A35,'Table Summary'!B:B,1,FALSE)</f>
        <v>#N/A</v>
      </c>
    </row>
    <row r="36" spans="1:2" hidden="1" x14ac:dyDescent="0.3">
      <c r="A36" t="s">
        <v>478</v>
      </c>
      <c r="B36" t="e">
        <f>VLOOKUP(A36,'Table Summary'!B:B,1,FALSE)</f>
        <v>#N/A</v>
      </c>
    </row>
    <row r="37" spans="1:2" hidden="1" x14ac:dyDescent="0.3">
      <c r="A37" t="s">
        <v>479</v>
      </c>
      <c r="B37" t="e">
        <f>VLOOKUP(A37,'Table Summary'!B:B,1,FALSE)</f>
        <v>#N/A</v>
      </c>
    </row>
    <row r="38" spans="1:2" hidden="1" x14ac:dyDescent="0.3">
      <c r="A38" t="s">
        <v>480</v>
      </c>
      <c r="B38" t="e">
        <f>VLOOKUP(A38,'Table Summary'!B:B,1,FALSE)</f>
        <v>#N/A</v>
      </c>
    </row>
    <row r="39" spans="1:2" hidden="1" x14ac:dyDescent="0.3">
      <c r="A39" t="s">
        <v>481</v>
      </c>
      <c r="B39" t="e">
        <f>VLOOKUP(A39,'Table Summary'!B:B,1,FALSE)</f>
        <v>#N/A</v>
      </c>
    </row>
    <row r="40" spans="1:2" hidden="1" x14ac:dyDescent="0.3">
      <c r="A40" t="s">
        <v>482</v>
      </c>
      <c r="B40" t="e">
        <f>VLOOKUP(A40,'Table Summary'!B:B,1,FALSE)</f>
        <v>#N/A</v>
      </c>
    </row>
    <row r="41" spans="1:2" hidden="1" x14ac:dyDescent="0.3">
      <c r="A41" t="s">
        <v>483</v>
      </c>
      <c r="B41" t="e">
        <f>VLOOKUP(A41,'Table Summary'!B:B,1,FALSE)</f>
        <v>#N/A</v>
      </c>
    </row>
    <row r="42" spans="1:2" hidden="1" x14ac:dyDescent="0.3">
      <c r="A42" t="s">
        <v>484</v>
      </c>
      <c r="B42" t="e">
        <f>VLOOKUP(A42,'Table Summary'!B:B,1,FALSE)</f>
        <v>#N/A</v>
      </c>
    </row>
    <row r="43" spans="1:2" hidden="1" x14ac:dyDescent="0.3">
      <c r="A43" t="s">
        <v>485</v>
      </c>
      <c r="B43" t="e">
        <f>VLOOKUP(A43,'Table Summary'!B:B,1,FALSE)</f>
        <v>#N/A</v>
      </c>
    </row>
    <row r="44" spans="1:2" hidden="1" x14ac:dyDescent="0.3">
      <c r="A44" t="s">
        <v>486</v>
      </c>
      <c r="B44" t="e">
        <f>VLOOKUP(A44,'Table Summary'!B:B,1,FALSE)</f>
        <v>#N/A</v>
      </c>
    </row>
    <row r="45" spans="1:2" hidden="1" x14ac:dyDescent="0.3">
      <c r="A45" t="s">
        <v>487</v>
      </c>
      <c r="B45" t="e">
        <f>VLOOKUP(A45,'Table Summary'!B:B,1,FALSE)</f>
        <v>#N/A</v>
      </c>
    </row>
    <row r="46" spans="1:2" hidden="1" x14ac:dyDescent="0.3">
      <c r="A46" t="s">
        <v>488</v>
      </c>
      <c r="B46" t="e">
        <f>VLOOKUP(A46,'Table Summary'!B:B,1,FALSE)</f>
        <v>#N/A</v>
      </c>
    </row>
    <row r="47" spans="1:2" hidden="1" x14ac:dyDescent="0.3">
      <c r="A47" t="s">
        <v>489</v>
      </c>
      <c r="B47" t="e">
        <f>VLOOKUP(A47,'Table Summary'!B:B,1,FALSE)</f>
        <v>#N/A</v>
      </c>
    </row>
    <row r="48" spans="1:2" hidden="1" x14ac:dyDescent="0.3">
      <c r="A48" t="s">
        <v>490</v>
      </c>
      <c r="B48" t="e">
        <f>VLOOKUP(A48,'Table Summary'!B:B,1,FALSE)</f>
        <v>#N/A</v>
      </c>
    </row>
    <row r="49" spans="1:2" hidden="1" x14ac:dyDescent="0.3">
      <c r="A49" t="s">
        <v>491</v>
      </c>
      <c r="B49" t="e">
        <f>VLOOKUP(A49,'Table Summary'!B:B,1,FALSE)</f>
        <v>#N/A</v>
      </c>
    </row>
    <row r="50" spans="1:2" hidden="1" x14ac:dyDescent="0.3">
      <c r="A50" t="s">
        <v>492</v>
      </c>
      <c r="B50" t="e">
        <f>VLOOKUP(A50,'Table Summary'!B:B,1,FALSE)</f>
        <v>#N/A</v>
      </c>
    </row>
    <row r="51" spans="1:2" hidden="1" x14ac:dyDescent="0.3">
      <c r="A51" t="s">
        <v>493</v>
      </c>
      <c r="B51" t="e">
        <f>VLOOKUP(A51,'Table Summary'!B:B,1,FALSE)</f>
        <v>#N/A</v>
      </c>
    </row>
    <row r="52" spans="1:2" hidden="1" x14ac:dyDescent="0.3">
      <c r="A52" t="s">
        <v>494</v>
      </c>
      <c r="B52" t="e">
        <f>VLOOKUP(A52,'Table Summary'!B:B,1,FALSE)</f>
        <v>#N/A</v>
      </c>
    </row>
    <row r="53" spans="1:2" hidden="1" x14ac:dyDescent="0.3">
      <c r="A53" t="s">
        <v>495</v>
      </c>
      <c r="B53" t="e">
        <f>VLOOKUP(A53,'Table Summary'!B:B,1,FALSE)</f>
        <v>#N/A</v>
      </c>
    </row>
    <row r="54" spans="1:2" hidden="1" x14ac:dyDescent="0.3">
      <c r="A54" t="s">
        <v>496</v>
      </c>
      <c r="B54" t="e">
        <f>VLOOKUP(A54,'Table Summary'!B:B,1,FALSE)</f>
        <v>#N/A</v>
      </c>
    </row>
    <row r="55" spans="1:2" hidden="1" x14ac:dyDescent="0.3">
      <c r="A55" t="s">
        <v>497</v>
      </c>
      <c r="B55" t="e">
        <f>VLOOKUP(A55,'Table Summary'!B:B,1,FALSE)</f>
        <v>#N/A</v>
      </c>
    </row>
    <row r="56" spans="1:2" hidden="1" x14ac:dyDescent="0.3">
      <c r="A56" t="s">
        <v>498</v>
      </c>
      <c r="B56" t="e">
        <f>VLOOKUP(A56,'Table Summary'!B:B,1,FALSE)</f>
        <v>#N/A</v>
      </c>
    </row>
    <row r="57" spans="1:2" hidden="1" x14ac:dyDescent="0.3">
      <c r="A57" t="s">
        <v>499</v>
      </c>
      <c r="B57" t="e">
        <f>VLOOKUP(A57,'Table Summary'!B:B,1,FALSE)</f>
        <v>#N/A</v>
      </c>
    </row>
    <row r="58" spans="1:2" hidden="1" x14ac:dyDescent="0.3">
      <c r="A58" t="s">
        <v>500</v>
      </c>
      <c r="B58" t="e">
        <f>VLOOKUP(A58,'Table Summary'!B:B,1,FALSE)</f>
        <v>#N/A</v>
      </c>
    </row>
    <row r="59" spans="1:2" hidden="1" x14ac:dyDescent="0.3">
      <c r="A59" t="s">
        <v>501</v>
      </c>
      <c r="B59" t="e">
        <f>VLOOKUP(A59,'Table Summary'!B:B,1,FALSE)</f>
        <v>#N/A</v>
      </c>
    </row>
    <row r="60" spans="1:2" hidden="1" x14ac:dyDescent="0.3">
      <c r="A60" t="s">
        <v>502</v>
      </c>
      <c r="B60" t="e">
        <f>VLOOKUP(A60,'Table Summary'!B:B,1,FALSE)</f>
        <v>#N/A</v>
      </c>
    </row>
    <row r="61" spans="1:2" hidden="1" x14ac:dyDescent="0.3">
      <c r="A61" t="s">
        <v>503</v>
      </c>
      <c r="B61" t="e">
        <f>VLOOKUP(A61,'Table Summary'!B:B,1,FALSE)</f>
        <v>#N/A</v>
      </c>
    </row>
    <row r="62" spans="1:2" hidden="1" x14ac:dyDescent="0.3">
      <c r="A62" t="s">
        <v>504</v>
      </c>
      <c r="B62" t="e">
        <f>VLOOKUP(A62,'Table Summary'!B:B,1,FALSE)</f>
        <v>#N/A</v>
      </c>
    </row>
    <row r="63" spans="1:2" hidden="1" x14ac:dyDescent="0.3">
      <c r="A63" t="s">
        <v>505</v>
      </c>
      <c r="B63" t="e">
        <f>VLOOKUP(A63,'Table Summary'!B:B,1,FALSE)</f>
        <v>#N/A</v>
      </c>
    </row>
    <row r="64" spans="1:2" hidden="1" x14ac:dyDescent="0.3">
      <c r="A64" t="s">
        <v>506</v>
      </c>
      <c r="B64" t="e">
        <f>VLOOKUP(A64,'Table Summary'!B:B,1,FALSE)</f>
        <v>#N/A</v>
      </c>
    </row>
    <row r="65" spans="1:2" hidden="1" x14ac:dyDescent="0.3">
      <c r="A65" t="s">
        <v>507</v>
      </c>
      <c r="B65" t="e">
        <f>VLOOKUP(A65,'Table Summary'!B:B,1,FALSE)</f>
        <v>#N/A</v>
      </c>
    </row>
    <row r="66" spans="1:2" hidden="1" x14ac:dyDescent="0.3">
      <c r="A66" t="s">
        <v>508</v>
      </c>
      <c r="B66" t="e">
        <f>VLOOKUP(A66,'Table Summary'!B:B,1,FALSE)</f>
        <v>#N/A</v>
      </c>
    </row>
    <row r="67" spans="1:2" hidden="1" x14ac:dyDescent="0.3">
      <c r="A67" t="s">
        <v>509</v>
      </c>
      <c r="B67" t="e">
        <f>VLOOKUP(A67,'Table Summary'!B:B,1,FALSE)</f>
        <v>#N/A</v>
      </c>
    </row>
    <row r="68" spans="1:2" hidden="1" x14ac:dyDescent="0.3">
      <c r="A68" t="s">
        <v>510</v>
      </c>
      <c r="B68" t="e">
        <f>VLOOKUP(A68,'Table Summary'!B:B,1,FALSE)</f>
        <v>#N/A</v>
      </c>
    </row>
    <row r="69" spans="1:2" hidden="1" x14ac:dyDescent="0.3">
      <c r="A69" t="s">
        <v>511</v>
      </c>
      <c r="B69" t="e">
        <f>VLOOKUP(A69,'Table Summary'!B:B,1,FALSE)</f>
        <v>#N/A</v>
      </c>
    </row>
    <row r="70" spans="1:2" hidden="1" x14ac:dyDescent="0.3">
      <c r="A70" t="s">
        <v>512</v>
      </c>
      <c r="B70" t="e">
        <f>VLOOKUP(A70,'Table Summary'!B:B,1,FALSE)</f>
        <v>#N/A</v>
      </c>
    </row>
    <row r="71" spans="1:2" hidden="1" x14ac:dyDescent="0.3">
      <c r="A71" t="s">
        <v>513</v>
      </c>
      <c r="B71" t="e">
        <f>VLOOKUP(A71,'Table Summary'!B:B,1,FALSE)</f>
        <v>#N/A</v>
      </c>
    </row>
    <row r="72" spans="1:2" hidden="1" x14ac:dyDescent="0.3">
      <c r="A72" t="s">
        <v>514</v>
      </c>
      <c r="B72" t="e">
        <f>VLOOKUP(A72,'Table Summary'!B:B,1,FALSE)</f>
        <v>#N/A</v>
      </c>
    </row>
    <row r="73" spans="1:2" hidden="1" x14ac:dyDescent="0.3">
      <c r="A73" t="s">
        <v>515</v>
      </c>
      <c r="B73" t="e">
        <f>VLOOKUP(A73,'Table Summary'!B:B,1,FALSE)</f>
        <v>#N/A</v>
      </c>
    </row>
    <row r="74" spans="1:2" hidden="1" x14ac:dyDescent="0.3">
      <c r="A74" t="s">
        <v>516</v>
      </c>
      <c r="B74" t="e">
        <f>VLOOKUP(A74,'Table Summary'!B:B,1,FALSE)</f>
        <v>#N/A</v>
      </c>
    </row>
    <row r="75" spans="1:2" hidden="1" x14ac:dyDescent="0.3">
      <c r="A75" t="s">
        <v>517</v>
      </c>
      <c r="B75" t="e">
        <f>VLOOKUP(A75,'Table Summary'!B:B,1,FALSE)</f>
        <v>#N/A</v>
      </c>
    </row>
    <row r="76" spans="1:2" hidden="1" x14ac:dyDescent="0.3">
      <c r="A76" t="s">
        <v>518</v>
      </c>
      <c r="B76" t="e">
        <f>VLOOKUP(A76,'Table Summary'!B:B,1,FALSE)</f>
        <v>#N/A</v>
      </c>
    </row>
    <row r="77" spans="1:2" hidden="1" x14ac:dyDescent="0.3">
      <c r="A77" t="s">
        <v>519</v>
      </c>
      <c r="B77" t="e">
        <f>VLOOKUP(A77,'Table Summary'!B:B,1,FALSE)</f>
        <v>#N/A</v>
      </c>
    </row>
    <row r="78" spans="1:2" hidden="1" x14ac:dyDescent="0.3">
      <c r="A78" t="s">
        <v>520</v>
      </c>
      <c r="B78" t="e">
        <f>VLOOKUP(A78,'Table Summary'!B:B,1,FALSE)</f>
        <v>#N/A</v>
      </c>
    </row>
    <row r="79" spans="1:2" hidden="1" x14ac:dyDescent="0.3">
      <c r="A79" t="s">
        <v>521</v>
      </c>
      <c r="B79" t="e">
        <f>VLOOKUP(A79,'Table Summary'!B:B,1,FALSE)</f>
        <v>#N/A</v>
      </c>
    </row>
    <row r="80" spans="1:2" hidden="1" x14ac:dyDescent="0.3">
      <c r="A80" t="s">
        <v>522</v>
      </c>
      <c r="B80" t="e">
        <f>VLOOKUP(A80,'Table Summary'!B:B,1,FALSE)</f>
        <v>#N/A</v>
      </c>
    </row>
    <row r="81" spans="1:2" hidden="1" x14ac:dyDescent="0.3">
      <c r="A81" t="s">
        <v>523</v>
      </c>
      <c r="B81" t="e">
        <f>VLOOKUP(A81,'Table Summary'!B:B,1,FALSE)</f>
        <v>#N/A</v>
      </c>
    </row>
    <row r="82" spans="1:2" hidden="1" x14ac:dyDescent="0.3">
      <c r="A82" t="s">
        <v>524</v>
      </c>
      <c r="B82" t="e">
        <f>VLOOKUP(A82,'Table Summary'!B:B,1,FALSE)</f>
        <v>#N/A</v>
      </c>
    </row>
    <row r="83" spans="1:2" hidden="1" x14ac:dyDescent="0.3">
      <c r="A83" t="s">
        <v>525</v>
      </c>
      <c r="B83" t="e">
        <f>VLOOKUP(A83,'Table Summary'!B:B,1,FALSE)</f>
        <v>#N/A</v>
      </c>
    </row>
    <row r="84" spans="1:2" hidden="1" x14ac:dyDescent="0.3">
      <c r="A84" t="s">
        <v>526</v>
      </c>
      <c r="B84" t="e">
        <f>VLOOKUP(A84,'Table Summary'!B:B,1,FALSE)</f>
        <v>#N/A</v>
      </c>
    </row>
    <row r="85" spans="1:2" hidden="1" x14ac:dyDescent="0.3">
      <c r="A85" t="s">
        <v>527</v>
      </c>
      <c r="B85" t="e">
        <f>VLOOKUP(A85,'Table Summary'!B:B,1,FALSE)</f>
        <v>#N/A</v>
      </c>
    </row>
    <row r="86" spans="1:2" hidden="1" x14ac:dyDescent="0.3">
      <c r="A86" t="s">
        <v>528</v>
      </c>
      <c r="B86" t="e">
        <f>VLOOKUP(A86,'Table Summary'!B:B,1,FALSE)</f>
        <v>#N/A</v>
      </c>
    </row>
    <row r="87" spans="1:2" hidden="1" x14ac:dyDescent="0.3">
      <c r="A87" t="s">
        <v>529</v>
      </c>
      <c r="B87" t="e">
        <f>VLOOKUP(A87,'Table Summary'!B:B,1,FALSE)</f>
        <v>#N/A</v>
      </c>
    </row>
    <row r="88" spans="1:2" hidden="1" x14ac:dyDescent="0.3">
      <c r="A88" t="s">
        <v>530</v>
      </c>
      <c r="B88" t="e">
        <f>VLOOKUP(A88,'Table Summary'!B:B,1,FALSE)</f>
        <v>#N/A</v>
      </c>
    </row>
    <row r="89" spans="1:2" hidden="1" x14ac:dyDescent="0.3">
      <c r="A89" t="s">
        <v>531</v>
      </c>
      <c r="B89" t="e">
        <f>VLOOKUP(A89,'Table Summary'!B:B,1,FALSE)</f>
        <v>#N/A</v>
      </c>
    </row>
    <row r="90" spans="1:2" hidden="1" x14ac:dyDescent="0.3">
      <c r="A90" t="s">
        <v>532</v>
      </c>
      <c r="B90" t="e">
        <f>VLOOKUP(A90,'Table Summary'!B:B,1,FALSE)</f>
        <v>#N/A</v>
      </c>
    </row>
    <row r="91" spans="1:2" hidden="1" x14ac:dyDescent="0.3">
      <c r="A91" t="s">
        <v>533</v>
      </c>
      <c r="B91" t="e">
        <f>VLOOKUP(A91,'Table Summary'!B:B,1,FALSE)</f>
        <v>#N/A</v>
      </c>
    </row>
    <row r="92" spans="1:2" hidden="1" x14ac:dyDescent="0.3">
      <c r="A92" t="s">
        <v>534</v>
      </c>
      <c r="B92" t="e">
        <f>VLOOKUP(A92,'Table Summary'!B:B,1,FALSE)</f>
        <v>#N/A</v>
      </c>
    </row>
    <row r="93" spans="1:2" hidden="1" x14ac:dyDescent="0.3">
      <c r="A93" t="s">
        <v>535</v>
      </c>
      <c r="B93" t="e">
        <f>VLOOKUP(A93,'Table Summary'!B:B,1,FALSE)</f>
        <v>#N/A</v>
      </c>
    </row>
    <row r="94" spans="1:2" hidden="1" x14ac:dyDescent="0.3">
      <c r="A94" t="s">
        <v>536</v>
      </c>
      <c r="B94" t="e">
        <f>VLOOKUP(A94,'Table Summary'!B:B,1,FALSE)</f>
        <v>#N/A</v>
      </c>
    </row>
    <row r="95" spans="1:2" hidden="1" x14ac:dyDescent="0.3">
      <c r="A95" t="s">
        <v>537</v>
      </c>
      <c r="B95" t="e">
        <f>VLOOKUP(A95,'Table Summary'!B:B,1,FALSE)</f>
        <v>#N/A</v>
      </c>
    </row>
    <row r="96" spans="1:2" hidden="1" x14ac:dyDescent="0.3">
      <c r="A96" t="s">
        <v>538</v>
      </c>
      <c r="B96" t="e">
        <f>VLOOKUP(A96,'Table Summary'!B:B,1,FALSE)</f>
        <v>#N/A</v>
      </c>
    </row>
    <row r="97" spans="1:2" hidden="1" x14ac:dyDescent="0.3">
      <c r="A97" t="s">
        <v>539</v>
      </c>
      <c r="B97" t="e">
        <f>VLOOKUP(A97,'Table Summary'!B:B,1,FALSE)</f>
        <v>#N/A</v>
      </c>
    </row>
    <row r="98" spans="1:2" hidden="1" x14ac:dyDescent="0.3">
      <c r="A98" t="s">
        <v>540</v>
      </c>
      <c r="B98" t="e">
        <f>VLOOKUP(A98,'Table Summary'!B:B,1,FALSE)</f>
        <v>#N/A</v>
      </c>
    </row>
    <row r="99" spans="1:2" hidden="1" x14ac:dyDescent="0.3">
      <c r="A99" t="s">
        <v>541</v>
      </c>
      <c r="B99" t="e">
        <f>VLOOKUP(A99,'Table Summary'!B:B,1,FALSE)</f>
        <v>#N/A</v>
      </c>
    </row>
    <row r="100" spans="1:2" hidden="1" x14ac:dyDescent="0.3">
      <c r="A100" t="s">
        <v>542</v>
      </c>
      <c r="B100" t="e">
        <f>VLOOKUP(A100,'Table Summary'!B:B,1,FALSE)</f>
        <v>#N/A</v>
      </c>
    </row>
    <row r="101" spans="1:2" hidden="1" x14ac:dyDescent="0.3">
      <c r="A101" t="s">
        <v>543</v>
      </c>
      <c r="B101" t="e">
        <f>VLOOKUP(A101,'Table Summary'!B:B,1,FALSE)</f>
        <v>#N/A</v>
      </c>
    </row>
    <row r="102" spans="1:2" hidden="1" x14ac:dyDescent="0.3">
      <c r="A102" t="s">
        <v>544</v>
      </c>
      <c r="B102" t="e">
        <f>VLOOKUP(A102,'Table Summary'!B:B,1,FALSE)</f>
        <v>#N/A</v>
      </c>
    </row>
    <row r="103" spans="1:2" hidden="1" x14ac:dyDescent="0.3">
      <c r="A103" t="s">
        <v>545</v>
      </c>
      <c r="B103" t="e">
        <f>VLOOKUP(A103,'Table Summary'!B:B,1,FALSE)</f>
        <v>#N/A</v>
      </c>
    </row>
    <row r="104" spans="1:2" hidden="1" x14ac:dyDescent="0.3">
      <c r="A104" t="s">
        <v>546</v>
      </c>
      <c r="B104" t="e">
        <f>VLOOKUP(A104,'Table Summary'!B:B,1,FALSE)</f>
        <v>#N/A</v>
      </c>
    </row>
    <row r="105" spans="1:2" hidden="1" x14ac:dyDescent="0.3">
      <c r="A105" t="s">
        <v>547</v>
      </c>
      <c r="B105" t="e">
        <f>VLOOKUP(A105,'Table Summary'!B:B,1,FALSE)</f>
        <v>#N/A</v>
      </c>
    </row>
    <row r="106" spans="1:2" hidden="1" x14ac:dyDescent="0.3">
      <c r="A106" t="s">
        <v>548</v>
      </c>
      <c r="B106" t="e">
        <f>VLOOKUP(A106,'Table Summary'!B:B,1,FALSE)</f>
        <v>#N/A</v>
      </c>
    </row>
    <row r="107" spans="1:2" hidden="1" x14ac:dyDescent="0.3">
      <c r="A107" t="s">
        <v>549</v>
      </c>
      <c r="B107" t="e">
        <f>VLOOKUP(A107,'Table Summary'!B:B,1,FALSE)</f>
        <v>#N/A</v>
      </c>
    </row>
    <row r="108" spans="1:2" hidden="1" x14ac:dyDescent="0.3">
      <c r="A108" t="s">
        <v>550</v>
      </c>
      <c r="B108" t="e">
        <f>VLOOKUP(A108,'Table Summary'!B:B,1,FALSE)</f>
        <v>#N/A</v>
      </c>
    </row>
    <row r="109" spans="1:2" hidden="1" x14ac:dyDescent="0.3">
      <c r="A109" t="s">
        <v>551</v>
      </c>
      <c r="B109" t="e">
        <f>VLOOKUP(A109,'Table Summary'!B:B,1,FALSE)</f>
        <v>#N/A</v>
      </c>
    </row>
    <row r="110" spans="1:2" hidden="1" x14ac:dyDescent="0.3">
      <c r="A110" t="s">
        <v>552</v>
      </c>
      <c r="B110" t="e">
        <f>VLOOKUP(A110,'Table Summary'!B:B,1,FALSE)</f>
        <v>#N/A</v>
      </c>
    </row>
    <row r="111" spans="1:2" hidden="1" x14ac:dyDescent="0.3">
      <c r="A111" t="s">
        <v>553</v>
      </c>
      <c r="B111" t="e">
        <f>VLOOKUP(A111,'Table Summary'!B:B,1,FALSE)</f>
        <v>#N/A</v>
      </c>
    </row>
    <row r="112" spans="1:2" hidden="1" x14ac:dyDescent="0.3">
      <c r="A112" t="s">
        <v>554</v>
      </c>
      <c r="B112" t="e">
        <f>VLOOKUP(A112,'Table Summary'!B:B,1,FALSE)</f>
        <v>#N/A</v>
      </c>
    </row>
    <row r="113" spans="1:2" hidden="1" x14ac:dyDescent="0.3">
      <c r="A113" t="s">
        <v>555</v>
      </c>
      <c r="B113" t="e">
        <f>VLOOKUP(A113,'Table Summary'!B:B,1,FALSE)</f>
        <v>#N/A</v>
      </c>
    </row>
    <row r="114" spans="1:2" hidden="1" x14ac:dyDescent="0.3">
      <c r="A114" t="s">
        <v>556</v>
      </c>
      <c r="B114" t="e">
        <f>VLOOKUP(A114,'Table Summary'!B:B,1,FALSE)</f>
        <v>#N/A</v>
      </c>
    </row>
    <row r="115" spans="1:2" hidden="1" x14ac:dyDescent="0.3">
      <c r="A115" t="s">
        <v>557</v>
      </c>
      <c r="B115" t="e">
        <f>VLOOKUP(A115,'Table Summary'!B:B,1,FALSE)</f>
        <v>#N/A</v>
      </c>
    </row>
    <row r="116" spans="1:2" hidden="1" x14ac:dyDescent="0.3">
      <c r="A116" t="s">
        <v>558</v>
      </c>
      <c r="B116" t="e">
        <f>VLOOKUP(A116,'Table Summary'!B:B,1,FALSE)</f>
        <v>#N/A</v>
      </c>
    </row>
    <row r="117" spans="1:2" hidden="1" x14ac:dyDescent="0.3">
      <c r="A117" t="s">
        <v>559</v>
      </c>
      <c r="B117" t="e">
        <f>VLOOKUP(A117,'Table Summary'!B:B,1,FALSE)</f>
        <v>#N/A</v>
      </c>
    </row>
    <row r="118" spans="1:2" hidden="1" x14ac:dyDescent="0.3">
      <c r="A118" t="s">
        <v>560</v>
      </c>
      <c r="B118" t="e">
        <f>VLOOKUP(A118,'Table Summary'!B:B,1,FALSE)</f>
        <v>#N/A</v>
      </c>
    </row>
    <row r="119" spans="1:2" hidden="1" x14ac:dyDescent="0.3">
      <c r="A119" t="s">
        <v>561</v>
      </c>
      <c r="B119" t="e">
        <f>VLOOKUP(A119,'Table Summary'!B:B,1,FALSE)</f>
        <v>#N/A</v>
      </c>
    </row>
    <row r="120" spans="1:2" hidden="1" x14ac:dyDescent="0.3">
      <c r="A120" t="s">
        <v>562</v>
      </c>
      <c r="B120" t="e">
        <f>VLOOKUP(A120,'Table Summary'!B:B,1,FALSE)</f>
        <v>#N/A</v>
      </c>
    </row>
    <row r="121" spans="1:2" hidden="1" x14ac:dyDescent="0.3">
      <c r="A121" t="s">
        <v>563</v>
      </c>
      <c r="B121" t="e">
        <f>VLOOKUP(A121,'Table Summary'!B:B,1,FALSE)</f>
        <v>#N/A</v>
      </c>
    </row>
    <row r="122" spans="1:2" hidden="1" x14ac:dyDescent="0.3">
      <c r="A122" t="s">
        <v>564</v>
      </c>
      <c r="B122" t="e">
        <f>VLOOKUP(A122,'Table Summary'!B:B,1,FALSE)</f>
        <v>#N/A</v>
      </c>
    </row>
    <row r="123" spans="1:2" hidden="1" x14ac:dyDescent="0.3">
      <c r="A123" t="s">
        <v>565</v>
      </c>
      <c r="B123" t="e">
        <f>VLOOKUP(A123,'Table Summary'!B:B,1,FALSE)</f>
        <v>#N/A</v>
      </c>
    </row>
    <row r="124" spans="1:2" hidden="1" x14ac:dyDescent="0.3">
      <c r="A124" t="s">
        <v>566</v>
      </c>
      <c r="B124" t="e">
        <f>VLOOKUP(A124,'Table Summary'!B:B,1,FALSE)</f>
        <v>#N/A</v>
      </c>
    </row>
    <row r="125" spans="1:2" hidden="1" x14ac:dyDescent="0.3">
      <c r="A125" t="s">
        <v>567</v>
      </c>
      <c r="B125" t="e">
        <f>VLOOKUP(A125,'Table Summary'!B:B,1,FALSE)</f>
        <v>#N/A</v>
      </c>
    </row>
    <row r="126" spans="1:2" x14ac:dyDescent="0.3">
      <c r="A126" t="s">
        <v>425</v>
      </c>
      <c r="B126" t="e">
        <f>VLOOKUP(A126,'Table Summary'!B:B,1,FALSE)</f>
        <v>#N/A</v>
      </c>
    </row>
    <row r="127" spans="1:2" x14ac:dyDescent="0.3">
      <c r="A127" t="s">
        <v>419</v>
      </c>
      <c r="B127" t="e">
        <f>VLOOKUP(A127,'Table Summary'!B:B,1,FALSE)</f>
        <v>#N/A</v>
      </c>
    </row>
    <row r="128" spans="1:2" x14ac:dyDescent="0.3">
      <c r="A128" t="s">
        <v>410</v>
      </c>
      <c r="B128" t="e">
        <f>VLOOKUP(A128,'Table Summary'!B:B,1,FALSE)</f>
        <v>#N/A</v>
      </c>
    </row>
    <row r="129" spans="1:2" x14ac:dyDescent="0.3">
      <c r="A129" t="s">
        <v>423</v>
      </c>
      <c r="B129" t="e">
        <f>VLOOKUP(A129,'Table Summary'!B:B,1,FALSE)</f>
        <v>#N/A</v>
      </c>
    </row>
    <row r="130" spans="1:2" x14ac:dyDescent="0.3">
      <c r="A130" t="s">
        <v>424</v>
      </c>
      <c r="B130" t="e">
        <f>VLOOKUP(A130,'Table Summary'!B:B,1,FALSE)</f>
        <v>#N/A</v>
      </c>
    </row>
    <row r="131" spans="1:2" x14ac:dyDescent="0.3">
      <c r="A131" t="s">
        <v>411</v>
      </c>
      <c r="B131" t="e">
        <f>VLOOKUP(A131,'Table Summary'!B:B,1,FALSE)</f>
        <v>#N/A</v>
      </c>
    </row>
    <row r="132" spans="1:2" x14ac:dyDescent="0.3">
      <c r="A132" t="s">
        <v>412</v>
      </c>
      <c r="B132" t="e">
        <f>VLOOKUP(A132,'Table Summary'!B:B,1,FALSE)</f>
        <v>#N/A</v>
      </c>
    </row>
    <row r="133" spans="1:2" x14ac:dyDescent="0.3">
      <c r="A133" t="s">
        <v>568</v>
      </c>
      <c r="B133" t="e">
        <f>VLOOKUP(A133,'Table Summary'!B:B,1,FALSE)</f>
        <v>#N/A</v>
      </c>
    </row>
    <row r="134" spans="1:2" x14ac:dyDescent="0.3">
      <c r="A134" t="s">
        <v>413</v>
      </c>
      <c r="B134" t="e">
        <f>VLOOKUP(A134,'Table Summary'!B:B,1,FALSE)</f>
        <v>#N/A</v>
      </c>
    </row>
    <row r="135" spans="1:2" x14ac:dyDescent="0.3">
      <c r="A135" t="s">
        <v>569</v>
      </c>
      <c r="B135" t="e">
        <f>VLOOKUP(A135,'Table Summary'!B:B,1,FALSE)</f>
        <v>#N/A</v>
      </c>
    </row>
    <row r="136" spans="1:2" x14ac:dyDescent="0.3">
      <c r="A136" t="s">
        <v>414</v>
      </c>
      <c r="B136" t="e">
        <f>VLOOKUP(A136,'Table Summary'!B:B,1,FALSE)</f>
        <v>#N/A</v>
      </c>
    </row>
    <row r="137" spans="1:2" x14ac:dyDescent="0.3">
      <c r="A137" t="s">
        <v>417</v>
      </c>
      <c r="B137" t="e">
        <f>VLOOKUP(A137,'Table Summary'!B:B,1,FALSE)</f>
        <v>#N/A</v>
      </c>
    </row>
    <row r="138" spans="1:2" x14ac:dyDescent="0.3">
      <c r="A138" t="s">
        <v>421</v>
      </c>
      <c r="B138" t="e">
        <f>VLOOKUP(A138,'Table Summary'!B:B,1,FALSE)</f>
        <v>#N/A</v>
      </c>
    </row>
    <row r="139" spans="1:2" x14ac:dyDescent="0.3">
      <c r="A139" t="s">
        <v>415</v>
      </c>
      <c r="B139" t="e">
        <f>VLOOKUP(A139,'Table Summary'!B:B,1,FALSE)</f>
        <v>#N/A</v>
      </c>
    </row>
    <row r="140" spans="1:2" x14ac:dyDescent="0.3">
      <c r="A140" t="s">
        <v>416</v>
      </c>
      <c r="B140" t="e">
        <f>VLOOKUP(A140,'Table Summary'!B:B,1,FALSE)</f>
        <v>#N/A</v>
      </c>
    </row>
    <row r="141" spans="1:2" x14ac:dyDescent="0.3">
      <c r="A141" t="s">
        <v>570</v>
      </c>
      <c r="B141" t="e">
        <f>VLOOKUP(A141,'Table Summary'!B:B,1,FALSE)</f>
        <v>#N/A</v>
      </c>
    </row>
    <row r="142" spans="1:2" hidden="1" x14ac:dyDescent="0.3">
      <c r="A142" t="s">
        <v>571</v>
      </c>
      <c r="B142" t="e">
        <f>VLOOKUP(A142,'Table Summary'!B:B,1,FALSE)</f>
        <v>#N/A</v>
      </c>
    </row>
    <row r="143" spans="1:2" hidden="1" x14ac:dyDescent="0.3">
      <c r="A143" t="s">
        <v>572</v>
      </c>
      <c r="B143" t="e">
        <f>VLOOKUP(A143,'Table Summary'!B:B,1,FALSE)</f>
        <v>#N/A</v>
      </c>
    </row>
    <row r="144" spans="1:2" hidden="1" x14ac:dyDescent="0.3">
      <c r="A144" t="s">
        <v>573</v>
      </c>
      <c r="B144" t="e">
        <f>VLOOKUP(A144,'Table Summary'!B:B,1,FALSE)</f>
        <v>#N/A</v>
      </c>
    </row>
    <row r="145" spans="1:2" hidden="1" x14ac:dyDescent="0.3">
      <c r="A145" t="s">
        <v>574</v>
      </c>
      <c r="B145" t="e">
        <f>VLOOKUP(A145,'Table Summary'!B:B,1,FALSE)</f>
        <v>#N/A</v>
      </c>
    </row>
    <row r="146" spans="1:2" hidden="1" x14ac:dyDescent="0.3">
      <c r="A146" t="s">
        <v>575</v>
      </c>
      <c r="B146" t="e">
        <f>VLOOKUP(A146,'Table Summary'!B:B,1,FALSE)</f>
        <v>#N/A</v>
      </c>
    </row>
    <row r="147" spans="1:2" hidden="1" x14ac:dyDescent="0.3">
      <c r="A147" t="s">
        <v>576</v>
      </c>
      <c r="B147" t="e">
        <f>VLOOKUP(A147,'Table Summary'!B:B,1,FALSE)</f>
        <v>#N/A</v>
      </c>
    </row>
    <row r="148" spans="1:2" hidden="1" x14ac:dyDescent="0.3">
      <c r="A148" t="s">
        <v>577</v>
      </c>
      <c r="B148" t="e">
        <f>VLOOKUP(A148,'Table Summary'!B:B,1,FALSE)</f>
        <v>#N/A</v>
      </c>
    </row>
    <row r="149" spans="1:2" hidden="1" x14ac:dyDescent="0.3">
      <c r="A149" t="s">
        <v>578</v>
      </c>
      <c r="B149" t="e">
        <f>VLOOKUP(A149,'Table Summary'!B:B,1,FALSE)</f>
        <v>#N/A</v>
      </c>
    </row>
    <row r="150" spans="1:2" hidden="1" x14ac:dyDescent="0.3">
      <c r="A150" t="s">
        <v>579</v>
      </c>
      <c r="B150" t="e">
        <f>VLOOKUP(A150,'Table Summary'!B:B,1,FALSE)</f>
        <v>#N/A</v>
      </c>
    </row>
    <row r="151" spans="1:2" hidden="1" x14ac:dyDescent="0.3">
      <c r="A151" t="s">
        <v>580</v>
      </c>
      <c r="B151" t="e">
        <f>VLOOKUP(A151,'Table Summary'!B:B,1,FALSE)</f>
        <v>#N/A</v>
      </c>
    </row>
    <row r="152" spans="1:2" hidden="1" x14ac:dyDescent="0.3">
      <c r="A152" t="s">
        <v>581</v>
      </c>
      <c r="B152" t="e">
        <f>VLOOKUP(A152,'Table Summary'!B:B,1,FALSE)</f>
        <v>#N/A</v>
      </c>
    </row>
    <row r="153" spans="1:2" hidden="1" x14ac:dyDescent="0.3">
      <c r="A153" t="s">
        <v>582</v>
      </c>
      <c r="B153" t="e">
        <f>VLOOKUP(A153,'Table Summary'!B:B,1,FALSE)</f>
        <v>#N/A</v>
      </c>
    </row>
    <row r="154" spans="1:2" hidden="1" x14ac:dyDescent="0.3">
      <c r="A154" t="s">
        <v>583</v>
      </c>
      <c r="B154" t="e">
        <f>VLOOKUP(A154,'Table Summary'!B:B,1,FALSE)</f>
        <v>#N/A</v>
      </c>
    </row>
    <row r="155" spans="1:2" hidden="1" x14ac:dyDescent="0.3">
      <c r="A155" t="s">
        <v>584</v>
      </c>
      <c r="B155" t="e">
        <f>VLOOKUP(A155,'Table Summary'!B:B,1,FALSE)</f>
        <v>#N/A</v>
      </c>
    </row>
    <row r="156" spans="1:2" hidden="1" x14ac:dyDescent="0.3">
      <c r="A156" t="s">
        <v>585</v>
      </c>
      <c r="B156" t="e">
        <f>VLOOKUP(A156,'Table Summary'!B:B,1,FALSE)</f>
        <v>#N/A</v>
      </c>
    </row>
    <row r="157" spans="1:2" hidden="1" x14ac:dyDescent="0.3">
      <c r="A157" t="s">
        <v>586</v>
      </c>
      <c r="B157" t="e">
        <f>VLOOKUP(A157,'Table Summary'!B:B,1,FALSE)</f>
        <v>#N/A</v>
      </c>
    </row>
    <row r="158" spans="1:2" hidden="1" x14ac:dyDescent="0.3">
      <c r="A158" t="s">
        <v>587</v>
      </c>
      <c r="B158" t="e">
        <f>VLOOKUP(A158,'Table Summary'!B:B,1,FALSE)</f>
        <v>#N/A</v>
      </c>
    </row>
    <row r="159" spans="1:2" hidden="1" x14ac:dyDescent="0.3">
      <c r="A159" t="s">
        <v>588</v>
      </c>
      <c r="B159" t="e">
        <f>VLOOKUP(A159,'Table Summary'!B:B,1,FALSE)</f>
        <v>#N/A</v>
      </c>
    </row>
    <row r="160" spans="1:2" hidden="1" x14ac:dyDescent="0.3">
      <c r="A160" t="s">
        <v>589</v>
      </c>
      <c r="B160" t="e">
        <f>VLOOKUP(A160,'Table Summary'!B:B,1,FALSE)</f>
        <v>#N/A</v>
      </c>
    </row>
    <row r="161" spans="1:2" hidden="1" x14ac:dyDescent="0.3">
      <c r="A161" t="s">
        <v>590</v>
      </c>
      <c r="B161" t="e">
        <f>VLOOKUP(A161,'Table Summary'!B:B,1,FALSE)</f>
        <v>#N/A</v>
      </c>
    </row>
    <row r="162" spans="1:2" hidden="1" x14ac:dyDescent="0.3">
      <c r="A162" t="s">
        <v>591</v>
      </c>
      <c r="B162" t="e">
        <f>VLOOKUP(A162,'Table Summary'!B:B,1,FALSE)</f>
        <v>#N/A</v>
      </c>
    </row>
    <row r="163" spans="1:2" hidden="1" x14ac:dyDescent="0.3">
      <c r="A163" t="s">
        <v>592</v>
      </c>
      <c r="B163" t="e">
        <f>VLOOKUP(A163,'Table Summary'!B:B,1,FALSE)</f>
        <v>#N/A</v>
      </c>
    </row>
    <row r="164" spans="1:2" hidden="1" x14ac:dyDescent="0.3">
      <c r="A164" t="s">
        <v>593</v>
      </c>
      <c r="B164" t="e">
        <f>VLOOKUP(A164,'Table Summary'!B:B,1,FALSE)</f>
        <v>#N/A</v>
      </c>
    </row>
    <row r="165" spans="1:2" hidden="1" x14ac:dyDescent="0.3">
      <c r="A165" t="s">
        <v>594</v>
      </c>
      <c r="B165" t="e">
        <f>VLOOKUP(A165,'Table Summary'!B:B,1,FALSE)</f>
        <v>#N/A</v>
      </c>
    </row>
    <row r="166" spans="1:2" hidden="1" x14ac:dyDescent="0.3">
      <c r="A166" t="s">
        <v>595</v>
      </c>
      <c r="B166" t="e">
        <f>VLOOKUP(A166,'Table Summary'!B:B,1,FALSE)</f>
        <v>#N/A</v>
      </c>
    </row>
    <row r="167" spans="1:2" hidden="1" x14ac:dyDescent="0.3">
      <c r="A167" t="s">
        <v>596</v>
      </c>
      <c r="B167" t="e">
        <f>VLOOKUP(A167,'Table Summary'!B:B,1,FALSE)</f>
        <v>#N/A</v>
      </c>
    </row>
    <row r="168" spans="1:2" hidden="1" x14ac:dyDescent="0.3">
      <c r="A168" t="s">
        <v>597</v>
      </c>
      <c r="B168" t="e">
        <f>VLOOKUP(A168,'Table Summary'!B:B,1,FALSE)</f>
        <v>#N/A</v>
      </c>
    </row>
    <row r="169" spans="1:2" hidden="1" x14ac:dyDescent="0.3">
      <c r="A169" t="s">
        <v>598</v>
      </c>
      <c r="B169" t="e">
        <f>VLOOKUP(A169,'Table Summary'!B:B,1,FALSE)</f>
        <v>#N/A</v>
      </c>
    </row>
    <row r="170" spans="1:2" hidden="1" x14ac:dyDescent="0.3">
      <c r="A170" t="s">
        <v>599</v>
      </c>
      <c r="B170" t="e">
        <f>VLOOKUP(A170,'Table Summary'!B:B,1,FALSE)</f>
        <v>#N/A</v>
      </c>
    </row>
    <row r="171" spans="1:2" hidden="1" x14ac:dyDescent="0.3">
      <c r="A171" t="s">
        <v>600</v>
      </c>
      <c r="B171" t="e">
        <f>VLOOKUP(A171,'Table Summary'!B:B,1,FALSE)</f>
        <v>#N/A</v>
      </c>
    </row>
    <row r="172" spans="1:2" hidden="1" x14ac:dyDescent="0.3">
      <c r="A172" t="s">
        <v>601</v>
      </c>
      <c r="B172" t="e">
        <f>VLOOKUP(A172,'Table Summary'!B:B,1,FALSE)</f>
        <v>#N/A</v>
      </c>
    </row>
    <row r="173" spans="1:2" hidden="1" x14ac:dyDescent="0.3">
      <c r="A173" t="s">
        <v>602</v>
      </c>
      <c r="B173" t="e">
        <f>VLOOKUP(A173,'Table Summary'!B:B,1,FALSE)</f>
        <v>#N/A</v>
      </c>
    </row>
    <row r="174" spans="1:2" hidden="1" x14ac:dyDescent="0.3">
      <c r="A174" t="s">
        <v>603</v>
      </c>
      <c r="B174" t="e">
        <f>VLOOKUP(A174,'Table Summary'!B:B,1,FALSE)</f>
        <v>#N/A</v>
      </c>
    </row>
    <row r="175" spans="1:2" hidden="1" x14ac:dyDescent="0.3">
      <c r="A175" t="s">
        <v>604</v>
      </c>
      <c r="B175" t="e">
        <f>VLOOKUP(A175,'Table Summary'!B:B,1,FALSE)</f>
        <v>#N/A</v>
      </c>
    </row>
    <row r="176" spans="1:2" hidden="1" x14ac:dyDescent="0.3">
      <c r="A176" t="s">
        <v>605</v>
      </c>
      <c r="B176" t="e">
        <f>VLOOKUP(A176,'Table Summary'!B:B,1,FALSE)</f>
        <v>#N/A</v>
      </c>
    </row>
    <row r="177" spans="1:2" hidden="1" x14ac:dyDescent="0.3">
      <c r="A177" t="s">
        <v>606</v>
      </c>
      <c r="B177" t="e">
        <f>VLOOKUP(A177,'Table Summary'!B:B,1,FALSE)</f>
        <v>#N/A</v>
      </c>
    </row>
    <row r="178" spans="1:2" hidden="1" x14ac:dyDescent="0.3">
      <c r="A178" t="s">
        <v>607</v>
      </c>
      <c r="B178" t="e">
        <f>VLOOKUP(A178,'Table Summary'!B:B,1,FALSE)</f>
        <v>#N/A</v>
      </c>
    </row>
    <row r="179" spans="1:2" hidden="1" x14ac:dyDescent="0.3">
      <c r="A179" t="s">
        <v>608</v>
      </c>
      <c r="B179" t="e">
        <f>VLOOKUP(A179,'Table Summary'!B:B,1,FALSE)</f>
        <v>#N/A</v>
      </c>
    </row>
    <row r="180" spans="1:2" hidden="1" x14ac:dyDescent="0.3">
      <c r="A180" t="s">
        <v>609</v>
      </c>
      <c r="B180" t="e">
        <f>VLOOKUP(A180,'Table Summary'!B:B,1,FALSE)</f>
        <v>#N/A</v>
      </c>
    </row>
    <row r="181" spans="1:2" hidden="1" x14ac:dyDescent="0.3">
      <c r="A181" t="s">
        <v>610</v>
      </c>
      <c r="B181" t="e">
        <f>VLOOKUP(A181,'Table Summary'!B:B,1,FALSE)</f>
        <v>#N/A</v>
      </c>
    </row>
    <row r="182" spans="1:2" hidden="1" x14ac:dyDescent="0.3">
      <c r="A182" t="s">
        <v>611</v>
      </c>
      <c r="B182" t="e">
        <f>VLOOKUP(A182,'Table Summary'!B:B,1,FALSE)</f>
        <v>#N/A</v>
      </c>
    </row>
    <row r="183" spans="1:2" hidden="1" x14ac:dyDescent="0.3">
      <c r="A183" t="s">
        <v>612</v>
      </c>
      <c r="B183" t="e">
        <f>VLOOKUP(A183,'Table Summary'!B:B,1,FALSE)</f>
        <v>#N/A</v>
      </c>
    </row>
    <row r="184" spans="1:2" hidden="1" x14ac:dyDescent="0.3">
      <c r="A184" t="s">
        <v>613</v>
      </c>
      <c r="B184" t="e">
        <f>VLOOKUP(A184,'Table Summary'!B:B,1,FALSE)</f>
        <v>#N/A</v>
      </c>
    </row>
    <row r="185" spans="1:2" hidden="1" x14ac:dyDescent="0.3">
      <c r="A185" t="s">
        <v>614</v>
      </c>
      <c r="B185" t="e">
        <f>VLOOKUP(A185,'Table Summary'!B:B,1,FALSE)</f>
        <v>#N/A</v>
      </c>
    </row>
    <row r="186" spans="1:2" hidden="1" x14ac:dyDescent="0.3">
      <c r="A186" t="s">
        <v>615</v>
      </c>
      <c r="B186" t="e">
        <f>VLOOKUP(A186,'Table Summary'!B:B,1,FALSE)</f>
        <v>#N/A</v>
      </c>
    </row>
    <row r="187" spans="1:2" x14ac:dyDescent="0.3">
      <c r="A187" t="s">
        <v>616</v>
      </c>
      <c r="B187" t="e">
        <f>VLOOKUP(A187,'Table Summary'!B:B,1,FALSE)</f>
        <v>#N/A</v>
      </c>
    </row>
    <row r="188" spans="1:2" hidden="1" x14ac:dyDescent="0.3">
      <c r="A188" t="s">
        <v>617</v>
      </c>
      <c r="B188" t="e">
        <f>VLOOKUP(A188,'Table Summary'!B:B,1,FALSE)</f>
        <v>#N/A</v>
      </c>
    </row>
    <row r="189" spans="1:2" hidden="1" x14ac:dyDescent="0.3">
      <c r="A189" t="s">
        <v>618</v>
      </c>
      <c r="B189" t="e">
        <f>VLOOKUP(A189,'Table Summary'!B:B,1,FALSE)</f>
        <v>#N/A</v>
      </c>
    </row>
    <row r="190" spans="1:2" x14ac:dyDescent="0.3">
      <c r="A190" t="s">
        <v>619</v>
      </c>
      <c r="B190" t="e">
        <f>VLOOKUP(A190,'Table Summary'!B:B,1,FALSE)</f>
        <v>#N/A</v>
      </c>
    </row>
    <row r="191" spans="1:2" hidden="1" x14ac:dyDescent="0.3">
      <c r="A191" t="s">
        <v>620</v>
      </c>
      <c r="B191" t="e">
        <f>VLOOKUP(A191,'Table Summary'!B:B,1,FALSE)</f>
        <v>#N/A</v>
      </c>
    </row>
    <row r="192" spans="1:2" hidden="1" x14ac:dyDescent="0.3">
      <c r="A192" t="s">
        <v>621</v>
      </c>
      <c r="B192" t="e">
        <f>VLOOKUP(A192,'Table Summary'!B:B,1,FALSE)</f>
        <v>#N/A</v>
      </c>
    </row>
    <row r="193" spans="1:2" hidden="1" x14ac:dyDescent="0.3">
      <c r="A193" t="s">
        <v>622</v>
      </c>
      <c r="B193" t="e">
        <f>VLOOKUP(A193,'Table Summary'!B:B,1,FALSE)</f>
        <v>#N/A</v>
      </c>
    </row>
    <row r="194" spans="1:2" hidden="1" x14ac:dyDescent="0.3">
      <c r="A194" t="s">
        <v>623</v>
      </c>
      <c r="B194" t="e">
        <f>VLOOKUP(A194,'Table Summary'!B:B,1,FALSE)</f>
        <v>#N/A</v>
      </c>
    </row>
    <row r="195" spans="1:2" hidden="1" x14ac:dyDescent="0.3">
      <c r="A195" t="s">
        <v>624</v>
      </c>
      <c r="B195" t="e">
        <f>VLOOKUP(A195,'Table Summary'!B:B,1,FALSE)</f>
        <v>#N/A</v>
      </c>
    </row>
    <row r="196" spans="1:2" hidden="1" x14ac:dyDescent="0.3">
      <c r="A196" t="s">
        <v>625</v>
      </c>
      <c r="B196" t="e">
        <f>VLOOKUP(A196,'Table Summary'!B:B,1,FALSE)</f>
        <v>#N/A</v>
      </c>
    </row>
    <row r="197" spans="1:2" hidden="1" x14ac:dyDescent="0.3">
      <c r="A197" t="s">
        <v>626</v>
      </c>
      <c r="B197" t="e">
        <f>VLOOKUP(A197,'Table Summary'!B:B,1,FALSE)</f>
        <v>#N/A</v>
      </c>
    </row>
    <row r="198" spans="1:2" hidden="1" x14ac:dyDescent="0.3">
      <c r="A198" t="s">
        <v>627</v>
      </c>
      <c r="B198" t="e">
        <f>VLOOKUP(A198,'Table Summary'!B:B,1,FALSE)</f>
        <v>#N/A</v>
      </c>
    </row>
    <row r="199" spans="1:2" hidden="1" x14ac:dyDescent="0.3">
      <c r="A199" t="s">
        <v>628</v>
      </c>
      <c r="B199" t="e">
        <f>VLOOKUP(A199,'Table Summary'!B:B,1,FALSE)</f>
        <v>#N/A</v>
      </c>
    </row>
    <row r="200" spans="1:2" hidden="1" x14ac:dyDescent="0.3">
      <c r="A200" t="s">
        <v>629</v>
      </c>
      <c r="B200" t="e">
        <f>VLOOKUP(A200,'Table Summary'!B:B,1,FALSE)</f>
        <v>#N/A</v>
      </c>
    </row>
    <row r="201" spans="1:2" hidden="1" x14ac:dyDescent="0.3">
      <c r="A201" t="s">
        <v>630</v>
      </c>
      <c r="B201" t="e">
        <f>VLOOKUP(A201,'Table Summary'!B:B,1,FALSE)</f>
        <v>#N/A</v>
      </c>
    </row>
    <row r="202" spans="1:2" hidden="1" x14ac:dyDescent="0.3">
      <c r="A202" t="s">
        <v>631</v>
      </c>
      <c r="B202" t="e">
        <f>VLOOKUP(A202,'Table Summary'!B:B,1,FALSE)</f>
        <v>#N/A</v>
      </c>
    </row>
    <row r="203" spans="1:2" hidden="1" x14ac:dyDescent="0.3">
      <c r="A203" t="s">
        <v>632</v>
      </c>
      <c r="B203" t="e">
        <f>VLOOKUP(A203,'Table Summary'!B:B,1,FALSE)</f>
        <v>#N/A</v>
      </c>
    </row>
    <row r="204" spans="1:2" hidden="1" x14ac:dyDescent="0.3">
      <c r="A204" t="s">
        <v>633</v>
      </c>
      <c r="B204" t="e">
        <f>VLOOKUP(A204,'Table Summary'!B:B,1,FALSE)</f>
        <v>#N/A</v>
      </c>
    </row>
    <row r="205" spans="1:2" hidden="1" x14ac:dyDescent="0.3">
      <c r="A205" t="s">
        <v>634</v>
      </c>
      <c r="B205" t="e">
        <f>VLOOKUP(A205,'Table Summary'!B:B,1,FALSE)</f>
        <v>#N/A</v>
      </c>
    </row>
    <row r="206" spans="1:2" hidden="1" x14ac:dyDescent="0.3">
      <c r="A206" t="s">
        <v>635</v>
      </c>
      <c r="B206" t="e">
        <f>VLOOKUP(A206,'Table Summary'!B:B,1,FALSE)</f>
        <v>#N/A</v>
      </c>
    </row>
    <row r="207" spans="1:2" hidden="1" x14ac:dyDescent="0.3">
      <c r="A207" t="s">
        <v>636</v>
      </c>
      <c r="B207" t="e">
        <f>VLOOKUP(A207,'Table Summary'!B:B,1,FALSE)</f>
        <v>#N/A</v>
      </c>
    </row>
    <row r="208" spans="1:2" hidden="1" x14ac:dyDescent="0.3">
      <c r="A208" t="s">
        <v>637</v>
      </c>
      <c r="B208" t="e">
        <f>VLOOKUP(A208,'Table Summary'!B:B,1,FALSE)</f>
        <v>#N/A</v>
      </c>
    </row>
    <row r="209" spans="1:2" hidden="1" x14ac:dyDescent="0.3">
      <c r="A209" t="s">
        <v>638</v>
      </c>
      <c r="B209" t="e">
        <f>VLOOKUP(A209,'Table Summary'!B:B,1,FALSE)</f>
        <v>#N/A</v>
      </c>
    </row>
    <row r="210" spans="1:2" hidden="1" x14ac:dyDescent="0.3">
      <c r="A210" t="s">
        <v>639</v>
      </c>
      <c r="B210" t="e">
        <f>VLOOKUP(A210,'Table Summary'!B:B,1,FALSE)</f>
        <v>#N/A</v>
      </c>
    </row>
    <row r="211" spans="1:2" hidden="1" x14ac:dyDescent="0.3">
      <c r="A211" t="s">
        <v>640</v>
      </c>
      <c r="B211" t="e">
        <f>VLOOKUP(A211,'Table Summary'!B:B,1,FALSE)</f>
        <v>#N/A</v>
      </c>
    </row>
    <row r="212" spans="1:2" hidden="1" x14ac:dyDescent="0.3">
      <c r="A212" t="s">
        <v>641</v>
      </c>
      <c r="B212" t="e">
        <f>VLOOKUP(A212,'Table Summary'!B:B,1,FALSE)</f>
        <v>#N/A</v>
      </c>
    </row>
    <row r="213" spans="1:2" hidden="1" x14ac:dyDescent="0.3">
      <c r="A213" t="s">
        <v>642</v>
      </c>
      <c r="B213" t="e">
        <f>VLOOKUP(A213,'Table Summary'!B:B,1,FALSE)</f>
        <v>#N/A</v>
      </c>
    </row>
    <row r="214" spans="1:2" hidden="1" x14ac:dyDescent="0.3">
      <c r="A214" t="s">
        <v>643</v>
      </c>
      <c r="B214" t="e">
        <f>VLOOKUP(A214,'Table Summary'!B:B,1,FALSE)</f>
        <v>#N/A</v>
      </c>
    </row>
    <row r="215" spans="1:2" hidden="1" x14ac:dyDescent="0.3">
      <c r="A215" t="s">
        <v>644</v>
      </c>
      <c r="B215" t="e">
        <f>VLOOKUP(A215,'Table Summary'!B:B,1,FALSE)</f>
        <v>#N/A</v>
      </c>
    </row>
    <row r="216" spans="1:2" hidden="1" x14ac:dyDescent="0.3">
      <c r="A216" t="s">
        <v>645</v>
      </c>
      <c r="B216" t="e">
        <f>VLOOKUP(A216,'Table Summary'!B:B,1,FALSE)</f>
        <v>#N/A</v>
      </c>
    </row>
    <row r="217" spans="1:2" hidden="1" x14ac:dyDescent="0.3">
      <c r="A217" t="s">
        <v>646</v>
      </c>
      <c r="B217" t="e">
        <f>VLOOKUP(A217,'Table Summary'!B:B,1,FALSE)</f>
        <v>#N/A</v>
      </c>
    </row>
    <row r="218" spans="1:2" hidden="1" x14ac:dyDescent="0.3">
      <c r="A218" t="s">
        <v>647</v>
      </c>
      <c r="B218" t="e">
        <f>VLOOKUP(A218,'Table Summary'!B:B,1,FALSE)</f>
        <v>#N/A</v>
      </c>
    </row>
    <row r="219" spans="1:2" hidden="1" x14ac:dyDescent="0.3">
      <c r="A219" t="s">
        <v>648</v>
      </c>
      <c r="B219" t="e">
        <f>VLOOKUP(A219,'Table Summary'!B:B,1,FALSE)</f>
        <v>#N/A</v>
      </c>
    </row>
    <row r="220" spans="1:2" hidden="1" x14ac:dyDescent="0.3">
      <c r="A220" t="s">
        <v>649</v>
      </c>
      <c r="B220" t="e">
        <f>VLOOKUP(A220,'Table Summary'!B:B,1,FALSE)</f>
        <v>#N/A</v>
      </c>
    </row>
    <row r="221" spans="1:2" hidden="1" x14ac:dyDescent="0.3">
      <c r="A221" t="s">
        <v>650</v>
      </c>
      <c r="B221" t="e">
        <f>VLOOKUP(A221,'Table Summary'!B:B,1,FALSE)</f>
        <v>#N/A</v>
      </c>
    </row>
    <row r="222" spans="1:2" hidden="1" x14ac:dyDescent="0.3">
      <c r="A222" t="s">
        <v>651</v>
      </c>
      <c r="B222" t="e">
        <f>VLOOKUP(A222,'Table Summary'!B:B,1,FALSE)</f>
        <v>#N/A</v>
      </c>
    </row>
    <row r="223" spans="1:2" hidden="1" x14ac:dyDescent="0.3">
      <c r="A223" t="s">
        <v>652</v>
      </c>
      <c r="B223" t="e">
        <f>VLOOKUP(A223,'Table Summary'!B:B,1,FALSE)</f>
        <v>#N/A</v>
      </c>
    </row>
    <row r="224" spans="1:2" hidden="1" x14ac:dyDescent="0.3">
      <c r="A224" t="s">
        <v>653</v>
      </c>
      <c r="B224" t="e">
        <f>VLOOKUP(A224,'Table Summary'!B:B,1,FALSE)</f>
        <v>#N/A</v>
      </c>
    </row>
    <row r="225" spans="1:2" hidden="1" x14ac:dyDescent="0.3">
      <c r="A225" t="s">
        <v>654</v>
      </c>
      <c r="B225" t="e">
        <f>VLOOKUP(A225,'Table Summary'!B:B,1,FALSE)</f>
        <v>#N/A</v>
      </c>
    </row>
    <row r="226" spans="1:2" hidden="1" x14ac:dyDescent="0.3">
      <c r="A226" t="s">
        <v>655</v>
      </c>
      <c r="B226" t="e">
        <f>VLOOKUP(A226,'Table Summary'!B:B,1,FALSE)</f>
        <v>#N/A</v>
      </c>
    </row>
    <row r="227" spans="1:2" hidden="1" x14ac:dyDescent="0.3">
      <c r="A227" t="s">
        <v>656</v>
      </c>
      <c r="B227" t="e">
        <f>VLOOKUP(A227,'Table Summary'!B:B,1,FALSE)</f>
        <v>#N/A</v>
      </c>
    </row>
    <row r="228" spans="1:2" hidden="1" x14ac:dyDescent="0.3">
      <c r="A228" t="s">
        <v>657</v>
      </c>
      <c r="B228" t="e">
        <f>VLOOKUP(A228,'Table Summary'!B:B,1,FALSE)</f>
        <v>#N/A</v>
      </c>
    </row>
    <row r="229" spans="1:2" hidden="1" x14ac:dyDescent="0.3">
      <c r="A229" t="s">
        <v>658</v>
      </c>
      <c r="B229" t="e">
        <f>VLOOKUP(A229,'Table Summary'!B:B,1,FALSE)</f>
        <v>#N/A</v>
      </c>
    </row>
    <row r="230" spans="1:2" hidden="1" x14ac:dyDescent="0.3">
      <c r="A230" t="s">
        <v>659</v>
      </c>
      <c r="B230" t="e">
        <f>VLOOKUP(A230,'Table Summary'!B:B,1,FALSE)</f>
        <v>#N/A</v>
      </c>
    </row>
    <row r="231" spans="1:2" hidden="1" x14ac:dyDescent="0.3">
      <c r="A231" t="s">
        <v>660</v>
      </c>
      <c r="B231" t="e">
        <f>VLOOKUP(A231,'Table Summary'!B:B,1,FALSE)</f>
        <v>#N/A</v>
      </c>
    </row>
    <row r="232" spans="1:2" hidden="1" x14ac:dyDescent="0.3">
      <c r="A232" t="s">
        <v>661</v>
      </c>
      <c r="B232" t="e">
        <f>VLOOKUP(A232,'Table Summary'!B:B,1,FALSE)</f>
        <v>#N/A</v>
      </c>
    </row>
    <row r="233" spans="1:2" hidden="1" x14ac:dyDescent="0.3">
      <c r="A233" t="s">
        <v>662</v>
      </c>
      <c r="B233" t="e">
        <f>VLOOKUP(A233,'Table Summary'!B:B,1,FALSE)</f>
        <v>#N/A</v>
      </c>
    </row>
    <row r="234" spans="1:2" hidden="1" x14ac:dyDescent="0.3">
      <c r="A234" t="s">
        <v>663</v>
      </c>
      <c r="B234" t="e">
        <f>VLOOKUP(A234,'Table Summary'!B:B,1,FALSE)</f>
        <v>#N/A</v>
      </c>
    </row>
    <row r="235" spans="1:2" hidden="1" x14ac:dyDescent="0.3">
      <c r="A235" t="s">
        <v>664</v>
      </c>
      <c r="B235" t="e">
        <f>VLOOKUP(A235,'Table Summary'!B:B,1,FALSE)</f>
        <v>#N/A</v>
      </c>
    </row>
    <row r="236" spans="1:2" hidden="1" x14ac:dyDescent="0.3">
      <c r="A236" t="s">
        <v>665</v>
      </c>
      <c r="B236" t="e">
        <f>VLOOKUP(A236,'Table Summary'!B:B,1,FALSE)</f>
        <v>#N/A</v>
      </c>
    </row>
    <row r="237" spans="1:2" hidden="1" x14ac:dyDescent="0.3">
      <c r="A237" t="s">
        <v>666</v>
      </c>
      <c r="B237" t="e">
        <f>VLOOKUP(A237,'Table Summary'!B:B,1,FALSE)</f>
        <v>#N/A</v>
      </c>
    </row>
    <row r="238" spans="1:2" hidden="1" x14ac:dyDescent="0.3">
      <c r="A238" t="s">
        <v>667</v>
      </c>
      <c r="B238" t="e">
        <f>VLOOKUP(A238,'Table Summary'!B:B,1,FALSE)</f>
        <v>#N/A</v>
      </c>
    </row>
    <row r="239" spans="1:2" hidden="1" x14ac:dyDescent="0.3">
      <c r="A239" t="s">
        <v>668</v>
      </c>
      <c r="B239" t="e">
        <f>VLOOKUP(A239,'Table Summary'!B:B,1,FALSE)</f>
        <v>#N/A</v>
      </c>
    </row>
    <row r="240" spans="1:2" hidden="1" x14ac:dyDescent="0.3">
      <c r="A240" t="s">
        <v>669</v>
      </c>
      <c r="B240" t="e">
        <f>VLOOKUP(A240,'Table Summary'!B:B,1,FALSE)</f>
        <v>#N/A</v>
      </c>
    </row>
    <row r="241" spans="1:2" hidden="1" x14ac:dyDescent="0.3">
      <c r="A241" t="s">
        <v>670</v>
      </c>
      <c r="B241" t="e">
        <f>VLOOKUP(A241,'Table Summary'!B:B,1,FALSE)</f>
        <v>#N/A</v>
      </c>
    </row>
    <row r="242" spans="1:2" hidden="1" x14ac:dyDescent="0.3">
      <c r="A242" t="s">
        <v>671</v>
      </c>
      <c r="B242" t="e">
        <f>VLOOKUP(A242,'Table Summary'!B:B,1,FALSE)</f>
        <v>#N/A</v>
      </c>
    </row>
    <row r="243" spans="1:2" hidden="1" x14ac:dyDescent="0.3">
      <c r="A243" t="s">
        <v>672</v>
      </c>
      <c r="B243" t="e">
        <f>VLOOKUP(A243,'Table Summary'!B:B,1,FALSE)</f>
        <v>#N/A</v>
      </c>
    </row>
    <row r="244" spans="1:2" hidden="1" x14ac:dyDescent="0.3">
      <c r="A244" t="s">
        <v>673</v>
      </c>
      <c r="B244" t="e">
        <f>VLOOKUP(A244,'Table Summary'!B:B,1,FALSE)</f>
        <v>#N/A</v>
      </c>
    </row>
    <row r="245" spans="1:2" hidden="1" x14ac:dyDescent="0.3">
      <c r="A245" t="s">
        <v>674</v>
      </c>
      <c r="B245" t="e">
        <f>VLOOKUP(A245,'Table Summary'!B:B,1,FALSE)</f>
        <v>#N/A</v>
      </c>
    </row>
    <row r="246" spans="1:2" hidden="1" x14ac:dyDescent="0.3">
      <c r="A246" t="s">
        <v>675</v>
      </c>
      <c r="B246" t="e">
        <f>VLOOKUP(A246,'Table Summary'!B:B,1,FALSE)</f>
        <v>#N/A</v>
      </c>
    </row>
    <row r="247" spans="1:2" hidden="1" x14ac:dyDescent="0.3">
      <c r="A247" t="s">
        <v>676</v>
      </c>
      <c r="B247" t="e">
        <f>VLOOKUP(A247,'Table Summary'!B:B,1,FALSE)</f>
        <v>#N/A</v>
      </c>
    </row>
    <row r="248" spans="1:2" hidden="1" x14ac:dyDescent="0.3">
      <c r="A248" t="s">
        <v>677</v>
      </c>
      <c r="B248" t="e">
        <f>VLOOKUP(A248,'Table Summary'!B:B,1,FALSE)</f>
        <v>#N/A</v>
      </c>
    </row>
    <row r="249" spans="1:2" hidden="1" x14ac:dyDescent="0.3">
      <c r="A249" t="s">
        <v>678</v>
      </c>
      <c r="B249" t="e">
        <f>VLOOKUP(A249,'Table Summary'!B:B,1,FALSE)</f>
        <v>#N/A</v>
      </c>
    </row>
    <row r="250" spans="1:2" hidden="1" x14ac:dyDescent="0.3">
      <c r="A250" t="s">
        <v>679</v>
      </c>
      <c r="B250" t="e">
        <f>VLOOKUP(A250,'Table Summary'!B:B,1,FALSE)</f>
        <v>#N/A</v>
      </c>
    </row>
    <row r="251" spans="1:2" hidden="1" x14ac:dyDescent="0.3">
      <c r="A251" t="s">
        <v>680</v>
      </c>
      <c r="B251" t="e">
        <f>VLOOKUP(A251,'Table Summary'!B:B,1,FALSE)</f>
        <v>#N/A</v>
      </c>
    </row>
    <row r="252" spans="1:2" hidden="1" x14ac:dyDescent="0.3">
      <c r="A252" t="s">
        <v>681</v>
      </c>
      <c r="B252" t="e">
        <f>VLOOKUP(A252,'Table Summary'!B:B,1,FALSE)</f>
        <v>#N/A</v>
      </c>
    </row>
    <row r="253" spans="1:2" hidden="1" x14ac:dyDescent="0.3">
      <c r="A253" t="s">
        <v>682</v>
      </c>
      <c r="B253" t="e">
        <f>VLOOKUP(A253,'Table Summary'!B:B,1,FALSE)</f>
        <v>#N/A</v>
      </c>
    </row>
    <row r="254" spans="1:2" hidden="1" x14ac:dyDescent="0.3">
      <c r="A254" t="s">
        <v>683</v>
      </c>
      <c r="B254" t="e">
        <f>VLOOKUP(A254,'Table Summary'!B:B,1,FALSE)</f>
        <v>#N/A</v>
      </c>
    </row>
    <row r="255" spans="1:2" hidden="1" x14ac:dyDescent="0.3">
      <c r="A255" t="s">
        <v>684</v>
      </c>
      <c r="B255" t="e">
        <f>VLOOKUP(A255,'Table Summary'!B:B,1,FALSE)</f>
        <v>#N/A</v>
      </c>
    </row>
    <row r="256" spans="1:2" hidden="1" x14ac:dyDescent="0.3">
      <c r="A256" t="s">
        <v>685</v>
      </c>
      <c r="B256" t="e">
        <f>VLOOKUP(A256,'Table Summary'!B:B,1,FALSE)</f>
        <v>#N/A</v>
      </c>
    </row>
    <row r="257" spans="1:2" hidden="1" x14ac:dyDescent="0.3">
      <c r="A257" t="s">
        <v>686</v>
      </c>
      <c r="B257" t="e">
        <f>VLOOKUP(A257,'Table Summary'!B:B,1,FALSE)</f>
        <v>#N/A</v>
      </c>
    </row>
    <row r="258" spans="1:2" x14ac:dyDescent="0.3">
      <c r="A258" t="s">
        <v>687</v>
      </c>
      <c r="B258" t="e">
        <f>VLOOKUP(A258,'Table Summary'!B:B,1,FALSE)</f>
        <v>#N/A</v>
      </c>
    </row>
    <row r="259" spans="1:2" hidden="1" x14ac:dyDescent="0.3">
      <c r="A259" t="s">
        <v>688</v>
      </c>
      <c r="B259" t="e">
        <f>VLOOKUP(A259,'Table Summary'!B:B,1,FALSE)</f>
        <v>#N/A</v>
      </c>
    </row>
    <row r="260" spans="1:2" hidden="1" x14ac:dyDescent="0.3">
      <c r="A260" t="s">
        <v>689</v>
      </c>
      <c r="B260" t="e">
        <f>VLOOKUP(A260,'Table Summary'!B:B,1,FALSE)</f>
        <v>#N/A</v>
      </c>
    </row>
    <row r="261" spans="1:2" hidden="1" x14ac:dyDescent="0.3">
      <c r="A261" t="s">
        <v>690</v>
      </c>
      <c r="B261" t="e">
        <f>VLOOKUP(A261,'Table Summary'!B:B,1,FALSE)</f>
        <v>#N/A</v>
      </c>
    </row>
    <row r="262" spans="1:2" hidden="1" x14ac:dyDescent="0.3">
      <c r="A262" t="s">
        <v>691</v>
      </c>
      <c r="B262" t="e">
        <f>VLOOKUP(A262,'Table Summary'!B:B,1,FALSE)</f>
        <v>#N/A</v>
      </c>
    </row>
    <row r="263" spans="1:2" hidden="1" x14ac:dyDescent="0.3">
      <c r="A263" t="s">
        <v>692</v>
      </c>
      <c r="B263" t="e">
        <f>VLOOKUP(A263,'Table Summary'!B:B,1,FALSE)</f>
        <v>#N/A</v>
      </c>
    </row>
    <row r="264" spans="1:2" hidden="1" x14ac:dyDescent="0.3">
      <c r="A264" t="s">
        <v>693</v>
      </c>
      <c r="B264" t="e">
        <f>VLOOKUP(A264,'Table Summary'!B:B,1,FALSE)</f>
        <v>#N/A</v>
      </c>
    </row>
    <row r="265" spans="1:2" hidden="1" x14ac:dyDescent="0.3">
      <c r="A265" t="s">
        <v>694</v>
      </c>
      <c r="B265" t="e">
        <f>VLOOKUP(A265,'Table Summary'!B:B,1,FALSE)</f>
        <v>#N/A</v>
      </c>
    </row>
    <row r="266" spans="1:2" hidden="1" x14ac:dyDescent="0.3">
      <c r="A266" t="s">
        <v>695</v>
      </c>
      <c r="B266" t="e">
        <f>VLOOKUP(A266,'Table Summary'!B:B,1,FALSE)</f>
        <v>#N/A</v>
      </c>
    </row>
    <row r="267" spans="1:2" hidden="1" x14ac:dyDescent="0.3">
      <c r="A267" t="s">
        <v>696</v>
      </c>
      <c r="B267" t="e">
        <f>VLOOKUP(A267,'Table Summary'!B:B,1,FALSE)</f>
        <v>#N/A</v>
      </c>
    </row>
    <row r="268" spans="1:2" hidden="1" x14ac:dyDescent="0.3">
      <c r="A268" t="s">
        <v>697</v>
      </c>
      <c r="B268" t="e">
        <f>VLOOKUP(A268,'Table Summary'!B:B,1,FALSE)</f>
        <v>#N/A</v>
      </c>
    </row>
    <row r="269" spans="1:2" hidden="1" x14ac:dyDescent="0.3">
      <c r="A269" t="s">
        <v>698</v>
      </c>
      <c r="B269" t="e">
        <f>VLOOKUP(A269,'Table Summary'!B:B,1,FALSE)</f>
        <v>#N/A</v>
      </c>
    </row>
    <row r="270" spans="1:2" hidden="1" x14ac:dyDescent="0.3">
      <c r="A270" t="s">
        <v>699</v>
      </c>
      <c r="B270" t="e">
        <f>VLOOKUP(A270,'Table Summary'!B:B,1,FALSE)</f>
        <v>#N/A</v>
      </c>
    </row>
    <row r="271" spans="1:2" hidden="1" x14ac:dyDescent="0.3">
      <c r="A271" t="s">
        <v>700</v>
      </c>
      <c r="B271" t="e">
        <f>VLOOKUP(A271,'Table Summary'!B:B,1,FALSE)</f>
        <v>#N/A</v>
      </c>
    </row>
    <row r="272" spans="1:2" hidden="1" x14ac:dyDescent="0.3">
      <c r="A272" t="s">
        <v>701</v>
      </c>
      <c r="B272" t="e">
        <f>VLOOKUP(A272,'Table Summary'!B:B,1,FALSE)</f>
        <v>#N/A</v>
      </c>
    </row>
    <row r="273" spans="1:2" hidden="1" x14ac:dyDescent="0.3">
      <c r="A273" t="s">
        <v>702</v>
      </c>
      <c r="B273" t="e">
        <f>VLOOKUP(A273,'Table Summary'!B:B,1,FALSE)</f>
        <v>#N/A</v>
      </c>
    </row>
    <row r="274" spans="1:2" hidden="1" x14ac:dyDescent="0.3">
      <c r="A274" t="s">
        <v>703</v>
      </c>
      <c r="B274" t="e">
        <f>VLOOKUP(A274,'Table Summary'!B:B,1,FALSE)</f>
        <v>#N/A</v>
      </c>
    </row>
    <row r="275" spans="1:2" hidden="1" x14ac:dyDescent="0.3">
      <c r="A275" t="s">
        <v>704</v>
      </c>
      <c r="B275" t="e">
        <f>VLOOKUP(A275,'Table Summary'!B:B,1,FALSE)</f>
        <v>#N/A</v>
      </c>
    </row>
    <row r="276" spans="1:2" hidden="1" x14ac:dyDescent="0.3">
      <c r="A276" t="s">
        <v>705</v>
      </c>
      <c r="B276" t="e">
        <f>VLOOKUP(A276,'Table Summary'!B:B,1,FALSE)</f>
        <v>#N/A</v>
      </c>
    </row>
    <row r="277" spans="1:2" hidden="1" x14ac:dyDescent="0.3">
      <c r="A277" t="s">
        <v>706</v>
      </c>
      <c r="B277" t="e">
        <f>VLOOKUP(A277,'Table Summary'!B:B,1,FALSE)</f>
        <v>#N/A</v>
      </c>
    </row>
    <row r="278" spans="1:2" hidden="1" x14ac:dyDescent="0.3">
      <c r="A278" t="s">
        <v>707</v>
      </c>
      <c r="B278" t="e">
        <f>VLOOKUP(A278,'Table Summary'!B:B,1,FALSE)</f>
        <v>#N/A</v>
      </c>
    </row>
    <row r="279" spans="1:2" hidden="1" x14ac:dyDescent="0.3">
      <c r="A279" t="s">
        <v>708</v>
      </c>
      <c r="B279" t="e">
        <f>VLOOKUP(A279,'Table Summary'!B:B,1,FALSE)</f>
        <v>#N/A</v>
      </c>
    </row>
    <row r="280" spans="1:2" hidden="1" x14ac:dyDescent="0.3">
      <c r="A280" t="s">
        <v>709</v>
      </c>
      <c r="B280" t="e">
        <f>VLOOKUP(A280,'Table Summary'!B:B,1,FALSE)</f>
        <v>#N/A</v>
      </c>
    </row>
    <row r="281" spans="1:2" hidden="1" x14ac:dyDescent="0.3">
      <c r="A281" t="s">
        <v>710</v>
      </c>
      <c r="B281" t="e">
        <f>VLOOKUP(A281,'Table Summary'!B:B,1,FALSE)</f>
        <v>#N/A</v>
      </c>
    </row>
    <row r="282" spans="1:2" hidden="1" x14ac:dyDescent="0.3">
      <c r="A282" t="s">
        <v>711</v>
      </c>
      <c r="B282" t="e">
        <f>VLOOKUP(A282,'Table Summary'!B:B,1,FALSE)</f>
        <v>#N/A</v>
      </c>
    </row>
    <row r="283" spans="1:2" hidden="1" x14ac:dyDescent="0.3">
      <c r="A283" t="s">
        <v>712</v>
      </c>
      <c r="B283" t="e">
        <f>VLOOKUP(A283,'Table Summary'!B:B,1,FALSE)</f>
        <v>#N/A</v>
      </c>
    </row>
    <row r="284" spans="1:2" hidden="1" x14ac:dyDescent="0.3">
      <c r="A284" t="s">
        <v>713</v>
      </c>
      <c r="B284" t="e">
        <f>VLOOKUP(A284,'Table Summary'!B:B,1,FALSE)</f>
        <v>#N/A</v>
      </c>
    </row>
    <row r="285" spans="1:2" hidden="1" x14ac:dyDescent="0.3">
      <c r="A285" t="s">
        <v>714</v>
      </c>
      <c r="B285" t="e">
        <f>VLOOKUP(A285,'Table Summary'!B:B,1,FALSE)</f>
        <v>#N/A</v>
      </c>
    </row>
    <row r="286" spans="1:2" hidden="1" x14ac:dyDescent="0.3">
      <c r="A286" t="s">
        <v>715</v>
      </c>
      <c r="B286" t="e">
        <f>VLOOKUP(A286,'Table Summary'!B:B,1,FALSE)</f>
        <v>#N/A</v>
      </c>
    </row>
    <row r="287" spans="1:2" hidden="1" x14ac:dyDescent="0.3">
      <c r="A287" t="s">
        <v>716</v>
      </c>
      <c r="B287" t="e">
        <f>VLOOKUP(A287,'Table Summary'!B:B,1,FALSE)</f>
        <v>#N/A</v>
      </c>
    </row>
    <row r="288" spans="1:2" hidden="1" x14ac:dyDescent="0.3">
      <c r="A288" t="s">
        <v>717</v>
      </c>
      <c r="B288" t="e">
        <f>VLOOKUP(A288,'Table Summary'!B:B,1,FALSE)</f>
        <v>#N/A</v>
      </c>
    </row>
    <row r="289" spans="1:2" hidden="1" x14ac:dyDescent="0.3">
      <c r="A289" t="s">
        <v>718</v>
      </c>
      <c r="B289" t="e">
        <f>VLOOKUP(A289,'Table Summary'!B:B,1,FALSE)</f>
        <v>#N/A</v>
      </c>
    </row>
    <row r="290" spans="1:2" hidden="1" x14ac:dyDescent="0.3">
      <c r="A290" t="s">
        <v>719</v>
      </c>
      <c r="B290" t="e">
        <f>VLOOKUP(A290,'Table Summary'!B:B,1,FALSE)</f>
        <v>#N/A</v>
      </c>
    </row>
    <row r="291" spans="1:2" hidden="1" x14ac:dyDescent="0.3">
      <c r="A291" t="s">
        <v>720</v>
      </c>
      <c r="B291" t="e">
        <f>VLOOKUP(A291,'Table Summary'!B:B,1,FALSE)</f>
        <v>#N/A</v>
      </c>
    </row>
    <row r="292" spans="1:2" hidden="1" x14ac:dyDescent="0.3">
      <c r="A292" t="s">
        <v>721</v>
      </c>
      <c r="B292" t="e">
        <f>VLOOKUP(A292,'Table Summary'!B:B,1,FALSE)</f>
        <v>#N/A</v>
      </c>
    </row>
    <row r="293" spans="1:2" hidden="1" x14ac:dyDescent="0.3">
      <c r="A293" t="s">
        <v>722</v>
      </c>
      <c r="B293" t="e">
        <f>VLOOKUP(A293,'Table Summary'!B:B,1,FALSE)</f>
        <v>#N/A</v>
      </c>
    </row>
    <row r="294" spans="1:2" hidden="1" x14ac:dyDescent="0.3">
      <c r="A294" t="s">
        <v>723</v>
      </c>
      <c r="B294" t="e">
        <f>VLOOKUP(A294,'Table Summary'!B:B,1,FALSE)</f>
        <v>#N/A</v>
      </c>
    </row>
    <row r="295" spans="1:2" hidden="1" x14ac:dyDescent="0.3">
      <c r="A295" t="s">
        <v>724</v>
      </c>
      <c r="B295" t="e">
        <f>VLOOKUP(A295,'Table Summary'!B:B,1,FALSE)</f>
        <v>#N/A</v>
      </c>
    </row>
    <row r="296" spans="1:2" hidden="1" x14ac:dyDescent="0.3">
      <c r="A296" t="s">
        <v>725</v>
      </c>
      <c r="B296" t="e">
        <f>VLOOKUP(A296,'Table Summary'!B:B,1,FALSE)</f>
        <v>#N/A</v>
      </c>
    </row>
    <row r="297" spans="1:2" hidden="1" x14ac:dyDescent="0.3">
      <c r="A297" t="s">
        <v>726</v>
      </c>
      <c r="B297" t="e">
        <f>VLOOKUP(A297,'Table Summary'!B:B,1,FALSE)</f>
        <v>#N/A</v>
      </c>
    </row>
    <row r="298" spans="1:2" hidden="1" x14ac:dyDescent="0.3">
      <c r="A298" t="s">
        <v>727</v>
      </c>
      <c r="B298" t="e">
        <f>VLOOKUP(A298,'Table Summary'!B:B,1,FALSE)</f>
        <v>#N/A</v>
      </c>
    </row>
    <row r="299" spans="1:2" hidden="1" x14ac:dyDescent="0.3">
      <c r="A299" t="s">
        <v>728</v>
      </c>
      <c r="B299" t="e">
        <f>VLOOKUP(A299,'Table Summary'!B:B,1,FALSE)</f>
        <v>#N/A</v>
      </c>
    </row>
    <row r="300" spans="1:2" hidden="1" x14ac:dyDescent="0.3">
      <c r="A300" t="s">
        <v>729</v>
      </c>
      <c r="B300" t="e">
        <f>VLOOKUP(A300,'Table Summary'!B:B,1,FALSE)</f>
        <v>#N/A</v>
      </c>
    </row>
    <row r="301" spans="1:2" hidden="1" x14ac:dyDescent="0.3">
      <c r="A301" t="s">
        <v>730</v>
      </c>
      <c r="B301" t="e">
        <f>VLOOKUP(A301,'Table Summary'!B:B,1,FALSE)</f>
        <v>#N/A</v>
      </c>
    </row>
    <row r="302" spans="1:2" hidden="1" x14ac:dyDescent="0.3">
      <c r="A302" t="s">
        <v>731</v>
      </c>
      <c r="B302" t="e">
        <f>VLOOKUP(A302,'Table Summary'!B:B,1,FALSE)</f>
        <v>#N/A</v>
      </c>
    </row>
    <row r="303" spans="1:2" hidden="1" x14ac:dyDescent="0.3">
      <c r="A303" t="s">
        <v>732</v>
      </c>
      <c r="B303" t="e">
        <f>VLOOKUP(A303,'Table Summary'!B:B,1,FALSE)</f>
        <v>#N/A</v>
      </c>
    </row>
    <row r="304" spans="1:2" hidden="1" x14ac:dyDescent="0.3">
      <c r="A304" t="s">
        <v>733</v>
      </c>
      <c r="B304" t="e">
        <f>VLOOKUP(A304,'Table Summary'!B:B,1,FALSE)</f>
        <v>#N/A</v>
      </c>
    </row>
    <row r="305" spans="1:2" hidden="1" x14ac:dyDescent="0.3">
      <c r="A305" t="s">
        <v>734</v>
      </c>
      <c r="B305" t="e">
        <f>VLOOKUP(A305,'Table Summary'!B:B,1,FALSE)</f>
        <v>#N/A</v>
      </c>
    </row>
    <row r="306" spans="1:2" hidden="1" x14ac:dyDescent="0.3">
      <c r="A306" t="s">
        <v>735</v>
      </c>
      <c r="B306" t="e">
        <f>VLOOKUP(A306,'Table Summary'!B:B,1,FALSE)</f>
        <v>#N/A</v>
      </c>
    </row>
    <row r="307" spans="1:2" hidden="1" x14ac:dyDescent="0.3">
      <c r="A307" t="s">
        <v>736</v>
      </c>
      <c r="B307" t="e">
        <f>VLOOKUP(A307,'Table Summary'!B:B,1,FALSE)</f>
        <v>#N/A</v>
      </c>
    </row>
    <row r="308" spans="1:2" hidden="1" x14ac:dyDescent="0.3">
      <c r="A308" t="s">
        <v>737</v>
      </c>
      <c r="B308" t="e">
        <f>VLOOKUP(A308,'Table Summary'!B:B,1,FALSE)</f>
        <v>#N/A</v>
      </c>
    </row>
    <row r="309" spans="1:2" hidden="1" x14ac:dyDescent="0.3">
      <c r="A309" t="s">
        <v>738</v>
      </c>
      <c r="B309" t="e">
        <f>VLOOKUP(A309,'Table Summary'!B:B,1,FALSE)</f>
        <v>#N/A</v>
      </c>
    </row>
    <row r="310" spans="1:2" hidden="1" x14ac:dyDescent="0.3">
      <c r="A310" t="s">
        <v>739</v>
      </c>
      <c r="B310" t="e">
        <f>VLOOKUP(A310,'Table Summary'!B:B,1,FALSE)</f>
        <v>#N/A</v>
      </c>
    </row>
    <row r="311" spans="1:2" hidden="1" x14ac:dyDescent="0.3">
      <c r="A311" t="s">
        <v>740</v>
      </c>
      <c r="B311" t="e">
        <f>VLOOKUP(A311,'Table Summary'!B:B,1,FALSE)</f>
        <v>#N/A</v>
      </c>
    </row>
    <row r="312" spans="1:2" hidden="1" x14ac:dyDescent="0.3">
      <c r="A312" t="s">
        <v>741</v>
      </c>
      <c r="B312" t="e">
        <f>VLOOKUP(A312,'Table Summary'!B:B,1,FALSE)</f>
        <v>#N/A</v>
      </c>
    </row>
    <row r="313" spans="1:2" hidden="1" x14ac:dyDescent="0.3">
      <c r="A313" t="s">
        <v>742</v>
      </c>
      <c r="B313" t="e">
        <f>VLOOKUP(A313,'Table Summary'!B:B,1,FALSE)</f>
        <v>#N/A</v>
      </c>
    </row>
    <row r="314" spans="1:2" hidden="1" x14ac:dyDescent="0.3">
      <c r="A314" t="s">
        <v>743</v>
      </c>
      <c r="B314" t="e">
        <f>VLOOKUP(A314,'Table Summary'!B:B,1,FALSE)</f>
        <v>#N/A</v>
      </c>
    </row>
    <row r="315" spans="1:2" hidden="1" x14ac:dyDescent="0.3">
      <c r="A315" t="s">
        <v>744</v>
      </c>
      <c r="B315" t="e">
        <f>VLOOKUP(A315,'Table Summary'!B:B,1,FALSE)</f>
        <v>#N/A</v>
      </c>
    </row>
    <row r="316" spans="1:2" hidden="1" x14ac:dyDescent="0.3">
      <c r="A316" t="s">
        <v>745</v>
      </c>
      <c r="B316" t="e">
        <f>VLOOKUP(A316,'Table Summary'!B:B,1,FALSE)</f>
        <v>#N/A</v>
      </c>
    </row>
    <row r="317" spans="1:2" hidden="1" x14ac:dyDescent="0.3">
      <c r="A317" t="s">
        <v>746</v>
      </c>
      <c r="B317" t="e">
        <f>VLOOKUP(A317,'Table Summary'!B:B,1,FALSE)</f>
        <v>#N/A</v>
      </c>
    </row>
    <row r="318" spans="1:2" hidden="1" x14ac:dyDescent="0.3">
      <c r="A318" t="s">
        <v>747</v>
      </c>
      <c r="B318" t="e">
        <f>VLOOKUP(A318,'Table Summary'!B:B,1,FALSE)</f>
        <v>#N/A</v>
      </c>
    </row>
    <row r="319" spans="1:2" hidden="1" x14ac:dyDescent="0.3">
      <c r="A319" t="s">
        <v>748</v>
      </c>
      <c r="B319" t="e">
        <f>VLOOKUP(A319,'Table Summary'!B:B,1,FALSE)</f>
        <v>#N/A</v>
      </c>
    </row>
    <row r="320" spans="1:2" hidden="1" x14ac:dyDescent="0.3">
      <c r="A320" t="s">
        <v>749</v>
      </c>
      <c r="B320" t="e">
        <f>VLOOKUP(A320,'Table Summary'!B:B,1,FALSE)</f>
        <v>#N/A</v>
      </c>
    </row>
    <row r="321" spans="1:2" hidden="1" x14ac:dyDescent="0.3">
      <c r="A321" t="s">
        <v>750</v>
      </c>
      <c r="B321" t="e">
        <f>VLOOKUP(A321,'Table Summary'!B:B,1,FALSE)</f>
        <v>#N/A</v>
      </c>
    </row>
    <row r="322" spans="1:2" hidden="1" x14ac:dyDescent="0.3">
      <c r="A322" t="s">
        <v>751</v>
      </c>
      <c r="B322" t="e">
        <f>VLOOKUP(A322,'Table Summary'!B:B,1,FALSE)</f>
        <v>#N/A</v>
      </c>
    </row>
    <row r="323" spans="1:2" hidden="1" x14ac:dyDescent="0.3">
      <c r="A323" t="s">
        <v>752</v>
      </c>
      <c r="B323" t="e">
        <f>VLOOKUP(A323,'Table Summary'!B:B,1,FALSE)</f>
        <v>#N/A</v>
      </c>
    </row>
    <row r="324" spans="1:2" hidden="1" x14ac:dyDescent="0.3">
      <c r="A324" t="s">
        <v>753</v>
      </c>
      <c r="B324" t="e">
        <f>VLOOKUP(A324,'Table Summary'!B:B,1,FALSE)</f>
        <v>#N/A</v>
      </c>
    </row>
    <row r="325" spans="1:2" hidden="1" x14ac:dyDescent="0.3">
      <c r="A325" t="s">
        <v>754</v>
      </c>
      <c r="B325" t="e">
        <f>VLOOKUP(A325,'Table Summary'!B:B,1,FALSE)</f>
        <v>#N/A</v>
      </c>
    </row>
    <row r="326" spans="1:2" hidden="1" x14ac:dyDescent="0.3">
      <c r="A326" t="s">
        <v>755</v>
      </c>
      <c r="B326" t="e">
        <f>VLOOKUP(A326,'Table Summary'!B:B,1,FALSE)</f>
        <v>#N/A</v>
      </c>
    </row>
    <row r="327" spans="1:2" hidden="1" x14ac:dyDescent="0.3">
      <c r="A327" t="s">
        <v>756</v>
      </c>
      <c r="B327" t="e">
        <f>VLOOKUP(A327,'Table Summary'!B:B,1,FALSE)</f>
        <v>#N/A</v>
      </c>
    </row>
    <row r="328" spans="1:2" hidden="1" x14ac:dyDescent="0.3">
      <c r="A328" t="s">
        <v>757</v>
      </c>
      <c r="B328" t="e">
        <f>VLOOKUP(A328,'Table Summary'!B:B,1,FALSE)</f>
        <v>#N/A</v>
      </c>
    </row>
    <row r="329" spans="1:2" hidden="1" x14ac:dyDescent="0.3">
      <c r="A329" t="s">
        <v>758</v>
      </c>
      <c r="B329" t="e">
        <f>VLOOKUP(A329,'Table Summary'!B:B,1,FALSE)</f>
        <v>#N/A</v>
      </c>
    </row>
    <row r="330" spans="1:2" hidden="1" x14ac:dyDescent="0.3">
      <c r="A330" t="s">
        <v>759</v>
      </c>
      <c r="B330" t="e">
        <f>VLOOKUP(A330,'Table Summary'!B:B,1,FALSE)</f>
        <v>#N/A</v>
      </c>
    </row>
    <row r="331" spans="1:2" hidden="1" x14ac:dyDescent="0.3">
      <c r="A331" t="s">
        <v>760</v>
      </c>
      <c r="B331" t="e">
        <f>VLOOKUP(A331,'Table Summary'!B:B,1,FALSE)</f>
        <v>#N/A</v>
      </c>
    </row>
    <row r="332" spans="1:2" hidden="1" x14ac:dyDescent="0.3">
      <c r="A332" t="s">
        <v>761</v>
      </c>
      <c r="B332" t="e">
        <f>VLOOKUP(A332,'Table Summary'!B:B,1,FALSE)</f>
        <v>#N/A</v>
      </c>
    </row>
    <row r="333" spans="1:2" hidden="1" x14ac:dyDescent="0.3">
      <c r="A333" t="s">
        <v>762</v>
      </c>
      <c r="B333" t="e">
        <f>VLOOKUP(A333,'Table Summary'!B:B,1,FALSE)</f>
        <v>#N/A</v>
      </c>
    </row>
    <row r="334" spans="1:2" hidden="1" x14ac:dyDescent="0.3">
      <c r="A334" t="s">
        <v>763</v>
      </c>
      <c r="B334" t="e">
        <f>VLOOKUP(A334,'Table Summary'!B:B,1,FALSE)</f>
        <v>#N/A</v>
      </c>
    </row>
    <row r="335" spans="1:2" hidden="1" x14ac:dyDescent="0.3">
      <c r="A335" t="s">
        <v>764</v>
      </c>
      <c r="B335" t="e">
        <f>VLOOKUP(A335,'Table Summary'!B:B,1,FALSE)</f>
        <v>#N/A</v>
      </c>
    </row>
    <row r="336" spans="1:2" hidden="1" x14ac:dyDescent="0.3">
      <c r="A336" t="s">
        <v>765</v>
      </c>
      <c r="B336" t="e">
        <f>VLOOKUP(A336,'Table Summary'!B:B,1,FALSE)</f>
        <v>#N/A</v>
      </c>
    </row>
    <row r="337" spans="1:2" hidden="1" x14ac:dyDescent="0.3">
      <c r="A337" t="s">
        <v>766</v>
      </c>
      <c r="B337" t="e">
        <f>VLOOKUP(A337,'Table Summary'!B:B,1,FALSE)</f>
        <v>#N/A</v>
      </c>
    </row>
    <row r="338" spans="1:2" hidden="1" x14ac:dyDescent="0.3">
      <c r="A338" t="s">
        <v>767</v>
      </c>
      <c r="B338" t="e">
        <f>VLOOKUP(A338,'Table Summary'!B:B,1,FALSE)</f>
        <v>#N/A</v>
      </c>
    </row>
    <row r="339" spans="1:2" hidden="1" x14ac:dyDescent="0.3">
      <c r="A339" t="s">
        <v>768</v>
      </c>
      <c r="B339" t="e">
        <f>VLOOKUP(A339,'Table Summary'!B:B,1,FALSE)</f>
        <v>#N/A</v>
      </c>
    </row>
    <row r="340" spans="1:2" hidden="1" x14ac:dyDescent="0.3">
      <c r="A340" t="s">
        <v>769</v>
      </c>
      <c r="B340" t="e">
        <f>VLOOKUP(A340,'Table Summary'!B:B,1,FALSE)</f>
        <v>#N/A</v>
      </c>
    </row>
    <row r="341" spans="1:2" hidden="1" x14ac:dyDescent="0.3">
      <c r="A341" t="s">
        <v>770</v>
      </c>
      <c r="B341" t="e">
        <f>VLOOKUP(A341,'Table Summary'!B:B,1,FALSE)</f>
        <v>#N/A</v>
      </c>
    </row>
    <row r="342" spans="1:2" hidden="1" x14ac:dyDescent="0.3">
      <c r="A342" t="s">
        <v>771</v>
      </c>
      <c r="B342" t="e">
        <f>VLOOKUP(A342,'Table Summary'!B:B,1,FALSE)</f>
        <v>#N/A</v>
      </c>
    </row>
    <row r="343" spans="1:2" hidden="1" x14ac:dyDescent="0.3">
      <c r="A343" t="s">
        <v>772</v>
      </c>
      <c r="B343" t="e">
        <f>VLOOKUP(A343,'Table Summary'!B:B,1,FALSE)</f>
        <v>#N/A</v>
      </c>
    </row>
    <row r="344" spans="1:2" hidden="1" x14ac:dyDescent="0.3">
      <c r="A344" t="s">
        <v>773</v>
      </c>
      <c r="B344" t="e">
        <f>VLOOKUP(A344,'Table Summary'!B:B,1,FALSE)</f>
        <v>#N/A</v>
      </c>
    </row>
    <row r="345" spans="1:2" hidden="1" x14ac:dyDescent="0.3">
      <c r="A345" t="s">
        <v>774</v>
      </c>
      <c r="B345" t="e">
        <f>VLOOKUP(A345,'Table Summary'!B:B,1,FALSE)</f>
        <v>#N/A</v>
      </c>
    </row>
    <row r="346" spans="1:2" hidden="1" x14ac:dyDescent="0.3">
      <c r="A346" t="s">
        <v>775</v>
      </c>
      <c r="B346" t="e">
        <f>VLOOKUP(A346,'Table Summary'!B:B,1,FALSE)</f>
        <v>#N/A</v>
      </c>
    </row>
    <row r="347" spans="1:2" hidden="1" x14ac:dyDescent="0.3">
      <c r="A347" t="s">
        <v>776</v>
      </c>
      <c r="B347" t="e">
        <f>VLOOKUP(A347,'Table Summary'!B:B,1,FALSE)</f>
        <v>#N/A</v>
      </c>
    </row>
    <row r="348" spans="1:2" hidden="1" x14ac:dyDescent="0.3">
      <c r="A348" t="s">
        <v>777</v>
      </c>
      <c r="B348" t="e">
        <f>VLOOKUP(A348,'Table Summary'!B:B,1,FALSE)</f>
        <v>#N/A</v>
      </c>
    </row>
    <row r="349" spans="1:2" hidden="1" x14ac:dyDescent="0.3">
      <c r="A349" t="s">
        <v>778</v>
      </c>
      <c r="B349" t="e">
        <f>VLOOKUP(A349,'Table Summary'!B:B,1,FALSE)</f>
        <v>#N/A</v>
      </c>
    </row>
    <row r="350" spans="1:2" hidden="1" x14ac:dyDescent="0.3">
      <c r="A350" t="s">
        <v>779</v>
      </c>
      <c r="B350" t="e">
        <f>VLOOKUP(A350,'Table Summary'!B:B,1,FALSE)</f>
        <v>#N/A</v>
      </c>
    </row>
    <row r="351" spans="1:2" hidden="1" x14ac:dyDescent="0.3">
      <c r="A351" t="s">
        <v>780</v>
      </c>
      <c r="B351" t="e">
        <f>VLOOKUP(A351,'Table Summary'!B:B,1,FALSE)</f>
        <v>#N/A</v>
      </c>
    </row>
    <row r="352" spans="1:2" hidden="1" x14ac:dyDescent="0.3">
      <c r="A352" t="s">
        <v>781</v>
      </c>
      <c r="B352" t="e">
        <f>VLOOKUP(A352,'Table Summary'!B:B,1,FALSE)</f>
        <v>#N/A</v>
      </c>
    </row>
    <row r="353" spans="1:2" hidden="1" x14ac:dyDescent="0.3">
      <c r="A353" t="s">
        <v>782</v>
      </c>
      <c r="B353" t="e">
        <f>VLOOKUP(A353,'Table Summary'!B:B,1,FALSE)</f>
        <v>#N/A</v>
      </c>
    </row>
    <row r="354" spans="1:2" hidden="1" x14ac:dyDescent="0.3">
      <c r="A354" t="s">
        <v>783</v>
      </c>
      <c r="B354" t="e">
        <f>VLOOKUP(A354,'Table Summary'!B:B,1,FALSE)</f>
        <v>#N/A</v>
      </c>
    </row>
    <row r="355" spans="1:2" hidden="1" x14ac:dyDescent="0.3">
      <c r="A355" t="s">
        <v>784</v>
      </c>
      <c r="B355" t="e">
        <f>VLOOKUP(A355,'Table Summary'!B:B,1,FALSE)</f>
        <v>#N/A</v>
      </c>
    </row>
    <row r="356" spans="1:2" hidden="1" x14ac:dyDescent="0.3">
      <c r="A356" t="s">
        <v>785</v>
      </c>
      <c r="B356" t="e">
        <f>VLOOKUP(A356,'Table Summary'!B:B,1,FALSE)</f>
        <v>#N/A</v>
      </c>
    </row>
    <row r="357" spans="1:2" hidden="1" x14ac:dyDescent="0.3">
      <c r="A357" t="s">
        <v>786</v>
      </c>
      <c r="B357" t="e">
        <f>VLOOKUP(A357,'Table Summary'!B:B,1,FALSE)</f>
        <v>#N/A</v>
      </c>
    </row>
    <row r="358" spans="1:2" hidden="1" x14ac:dyDescent="0.3">
      <c r="A358" t="s">
        <v>787</v>
      </c>
      <c r="B358" t="e">
        <f>VLOOKUP(A358,'Table Summary'!B:B,1,FALSE)</f>
        <v>#N/A</v>
      </c>
    </row>
    <row r="359" spans="1:2" hidden="1" x14ac:dyDescent="0.3">
      <c r="A359" t="s">
        <v>788</v>
      </c>
      <c r="B359" t="e">
        <f>VLOOKUP(A359,'Table Summary'!B:B,1,FALSE)</f>
        <v>#N/A</v>
      </c>
    </row>
    <row r="360" spans="1:2" hidden="1" x14ac:dyDescent="0.3">
      <c r="A360" t="s">
        <v>789</v>
      </c>
      <c r="B360" t="e">
        <f>VLOOKUP(A360,'Table Summary'!B:B,1,FALSE)</f>
        <v>#N/A</v>
      </c>
    </row>
    <row r="361" spans="1:2" hidden="1" x14ac:dyDescent="0.3">
      <c r="A361" t="s">
        <v>790</v>
      </c>
      <c r="B361" t="e">
        <f>VLOOKUP(A361,'Table Summary'!B:B,1,FALSE)</f>
        <v>#N/A</v>
      </c>
    </row>
    <row r="362" spans="1:2" hidden="1" x14ac:dyDescent="0.3">
      <c r="A362" t="s">
        <v>791</v>
      </c>
      <c r="B362" t="e">
        <f>VLOOKUP(A362,'Table Summary'!B:B,1,FALSE)</f>
        <v>#N/A</v>
      </c>
    </row>
    <row r="363" spans="1:2" hidden="1" x14ac:dyDescent="0.3">
      <c r="A363" t="s">
        <v>792</v>
      </c>
      <c r="B363" t="e">
        <f>VLOOKUP(A363,'Table Summary'!B:B,1,FALSE)</f>
        <v>#N/A</v>
      </c>
    </row>
    <row r="364" spans="1:2" hidden="1" x14ac:dyDescent="0.3">
      <c r="A364" t="s">
        <v>793</v>
      </c>
      <c r="B364" t="e">
        <f>VLOOKUP(A364,'Table Summary'!B:B,1,FALSE)</f>
        <v>#N/A</v>
      </c>
    </row>
    <row r="365" spans="1:2" hidden="1" x14ac:dyDescent="0.3">
      <c r="A365" t="s">
        <v>794</v>
      </c>
      <c r="B365" t="e">
        <f>VLOOKUP(A365,'Table Summary'!B:B,1,FALSE)</f>
        <v>#N/A</v>
      </c>
    </row>
    <row r="366" spans="1:2" hidden="1" x14ac:dyDescent="0.3">
      <c r="A366" t="s">
        <v>795</v>
      </c>
      <c r="B366" t="e">
        <f>VLOOKUP(A366,'Table Summary'!B:B,1,FALSE)</f>
        <v>#N/A</v>
      </c>
    </row>
    <row r="367" spans="1:2" hidden="1" x14ac:dyDescent="0.3">
      <c r="A367" t="s">
        <v>796</v>
      </c>
      <c r="B367" t="e">
        <f>VLOOKUP(A367,'Table Summary'!B:B,1,FALSE)</f>
        <v>#N/A</v>
      </c>
    </row>
    <row r="368" spans="1:2" hidden="1" x14ac:dyDescent="0.3">
      <c r="A368" t="s">
        <v>797</v>
      </c>
      <c r="B368" t="e">
        <f>VLOOKUP(A368,'Table Summary'!B:B,1,FALSE)</f>
        <v>#N/A</v>
      </c>
    </row>
    <row r="369" spans="1:2" hidden="1" x14ac:dyDescent="0.3">
      <c r="A369" t="s">
        <v>798</v>
      </c>
      <c r="B369" t="e">
        <f>VLOOKUP(A369,'Table Summary'!B:B,1,FALSE)</f>
        <v>#N/A</v>
      </c>
    </row>
    <row r="370" spans="1:2" hidden="1" x14ac:dyDescent="0.3">
      <c r="A370" t="s">
        <v>799</v>
      </c>
      <c r="B370" t="e">
        <f>VLOOKUP(A370,'Table Summary'!B:B,1,FALSE)</f>
        <v>#N/A</v>
      </c>
    </row>
    <row r="371" spans="1:2" hidden="1" x14ac:dyDescent="0.3">
      <c r="A371" t="s">
        <v>800</v>
      </c>
      <c r="B371" t="e">
        <f>VLOOKUP(A371,'Table Summary'!B:B,1,FALSE)</f>
        <v>#N/A</v>
      </c>
    </row>
    <row r="372" spans="1:2" hidden="1" x14ac:dyDescent="0.3">
      <c r="A372" t="s">
        <v>801</v>
      </c>
      <c r="B372" t="e">
        <f>VLOOKUP(A372,'Table Summary'!B:B,1,FALSE)</f>
        <v>#N/A</v>
      </c>
    </row>
    <row r="373" spans="1:2" hidden="1" x14ac:dyDescent="0.3">
      <c r="A373" t="s">
        <v>802</v>
      </c>
      <c r="B373" t="e">
        <f>VLOOKUP(A373,'Table Summary'!B:B,1,FALSE)</f>
        <v>#N/A</v>
      </c>
    </row>
    <row r="374" spans="1:2" hidden="1" x14ac:dyDescent="0.3">
      <c r="A374" t="s">
        <v>803</v>
      </c>
      <c r="B374" t="e">
        <f>VLOOKUP(A374,'Table Summary'!B:B,1,FALSE)</f>
        <v>#N/A</v>
      </c>
    </row>
    <row r="375" spans="1:2" hidden="1" x14ac:dyDescent="0.3">
      <c r="A375" t="s">
        <v>804</v>
      </c>
      <c r="B375" t="e">
        <f>VLOOKUP(A375,'Table Summary'!B:B,1,FALSE)</f>
        <v>#N/A</v>
      </c>
    </row>
    <row r="376" spans="1:2" hidden="1" x14ac:dyDescent="0.3">
      <c r="A376" t="s">
        <v>805</v>
      </c>
      <c r="B376" t="e">
        <f>VLOOKUP(A376,'Table Summary'!B:B,1,FALSE)</f>
        <v>#N/A</v>
      </c>
    </row>
    <row r="377" spans="1:2" hidden="1" x14ac:dyDescent="0.3">
      <c r="A377" t="s">
        <v>806</v>
      </c>
      <c r="B377" t="e">
        <f>VLOOKUP(A377,'Table Summary'!B:B,1,FALSE)</f>
        <v>#N/A</v>
      </c>
    </row>
    <row r="378" spans="1:2" hidden="1" x14ac:dyDescent="0.3">
      <c r="A378" t="s">
        <v>807</v>
      </c>
      <c r="B378" t="e">
        <f>VLOOKUP(A378,'Table Summary'!B:B,1,FALSE)</f>
        <v>#N/A</v>
      </c>
    </row>
    <row r="379" spans="1:2" hidden="1" x14ac:dyDescent="0.3">
      <c r="A379" t="s">
        <v>808</v>
      </c>
      <c r="B379" t="e">
        <f>VLOOKUP(A379,'Table Summary'!B:B,1,FALSE)</f>
        <v>#N/A</v>
      </c>
    </row>
    <row r="380" spans="1:2" hidden="1" x14ac:dyDescent="0.3">
      <c r="A380" t="s">
        <v>809</v>
      </c>
      <c r="B380" t="e">
        <f>VLOOKUP(A380,'Table Summary'!B:B,1,FALSE)</f>
        <v>#N/A</v>
      </c>
    </row>
    <row r="381" spans="1:2" hidden="1" x14ac:dyDescent="0.3">
      <c r="A381" t="s">
        <v>810</v>
      </c>
      <c r="B381" t="e">
        <f>VLOOKUP(A381,'Table Summary'!B:B,1,FALSE)</f>
        <v>#N/A</v>
      </c>
    </row>
    <row r="382" spans="1:2" hidden="1" x14ac:dyDescent="0.3">
      <c r="A382" t="s">
        <v>811</v>
      </c>
      <c r="B382" t="e">
        <f>VLOOKUP(A382,'Table Summary'!B:B,1,FALSE)</f>
        <v>#N/A</v>
      </c>
    </row>
    <row r="383" spans="1:2" hidden="1" x14ac:dyDescent="0.3">
      <c r="A383" t="s">
        <v>812</v>
      </c>
      <c r="B383" t="e">
        <f>VLOOKUP(A383,'Table Summary'!B:B,1,FALSE)</f>
        <v>#N/A</v>
      </c>
    </row>
    <row r="384" spans="1:2" hidden="1" x14ac:dyDescent="0.3">
      <c r="A384" t="s">
        <v>813</v>
      </c>
      <c r="B384" t="e">
        <f>VLOOKUP(A384,'Table Summary'!B:B,1,FALSE)</f>
        <v>#N/A</v>
      </c>
    </row>
    <row r="385" spans="1:2" hidden="1" x14ac:dyDescent="0.3">
      <c r="A385" t="s">
        <v>814</v>
      </c>
      <c r="B385" t="e">
        <f>VLOOKUP(A385,'Table Summary'!B:B,1,FALSE)</f>
        <v>#N/A</v>
      </c>
    </row>
    <row r="386" spans="1:2" hidden="1" x14ac:dyDescent="0.3">
      <c r="A386" t="s">
        <v>815</v>
      </c>
      <c r="B386" t="e">
        <f>VLOOKUP(A386,'Table Summary'!B:B,1,FALSE)</f>
        <v>#N/A</v>
      </c>
    </row>
    <row r="387" spans="1:2" hidden="1" x14ac:dyDescent="0.3">
      <c r="A387" t="s">
        <v>816</v>
      </c>
      <c r="B387" t="e">
        <f>VLOOKUP(A387,'Table Summary'!B:B,1,FALSE)</f>
        <v>#N/A</v>
      </c>
    </row>
    <row r="388" spans="1:2" hidden="1" x14ac:dyDescent="0.3">
      <c r="A388" t="s">
        <v>817</v>
      </c>
      <c r="B388" t="e">
        <f>VLOOKUP(A388,'Table Summary'!B:B,1,FALSE)</f>
        <v>#N/A</v>
      </c>
    </row>
    <row r="389" spans="1:2" hidden="1" x14ac:dyDescent="0.3">
      <c r="A389" t="s">
        <v>818</v>
      </c>
      <c r="B389" t="e">
        <f>VLOOKUP(A389,'Table Summary'!B:B,1,FALSE)</f>
        <v>#N/A</v>
      </c>
    </row>
    <row r="390" spans="1:2" hidden="1" x14ac:dyDescent="0.3">
      <c r="A390" t="s">
        <v>819</v>
      </c>
      <c r="B390" t="e">
        <f>VLOOKUP(A390,'Table Summary'!B:B,1,FALSE)</f>
        <v>#N/A</v>
      </c>
    </row>
    <row r="391" spans="1:2" hidden="1" x14ac:dyDescent="0.3">
      <c r="A391" t="s">
        <v>820</v>
      </c>
      <c r="B391" t="e">
        <f>VLOOKUP(A391,'Table Summary'!B:B,1,FALSE)</f>
        <v>#N/A</v>
      </c>
    </row>
    <row r="392" spans="1:2" hidden="1" x14ac:dyDescent="0.3">
      <c r="A392" t="s">
        <v>821</v>
      </c>
      <c r="B392" t="e">
        <f>VLOOKUP(A392,'Table Summary'!B:B,1,FALSE)</f>
        <v>#N/A</v>
      </c>
    </row>
    <row r="393" spans="1:2" hidden="1" x14ac:dyDescent="0.3">
      <c r="A393" t="s">
        <v>822</v>
      </c>
      <c r="B393" t="e">
        <f>VLOOKUP(A393,'Table Summary'!B:B,1,FALSE)</f>
        <v>#N/A</v>
      </c>
    </row>
    <row r="394" spans="1:2" hidden="1" x14ac:dyDescent="0.3">
      <c r="A394" t="s">
        <v>823</v>
      </c>
      <c r="B394" t="e">
        <f>VLOOKUP(A394,'Table Summary'!B:B,1,FALSE)</f>
        <v>#N/A</v>
      </c>
    </row>
    <row r="395" spans="1:2" hidden="1" x14ac:dyDescent="0.3">
      <c r="A395" t="s">
        <v>824</v>
      </c>
      <c r="B395" t="e">
        <f>VLOOKUP(A395,'Table Summary'!B:B,1,FALSE)</f>
        <v>#N/A</v>
      </c>
    </row>
    <row r="396" spans="1:2" hidden="1" x14ac:dyDescent="0.3">
      <c r="A396" t="s">
        <v>825</v>
      </c>
      <c r="B396" t="e">
        <f>VLOOKUP(A396,'Table Summary'!B:B,1,FALSE)</f>
        <v>#N/A</v>
      </c>
    </row>
    <row r="397" spans="1:2" hidden="1" x14ac:dyDescent="0.3">
      <c r="A397" t="s">
        <v>826</v>
      </c>
      <c r="B397" t="e">
        <f>VLOOKUP(A397,'Table Summary'!B:B,1,FALSE)</f>
        <v>#N/A</v>
      </c>
    </row>
    <row r="398" spans="1:2" hidden="1" x14ac:dyDescent="0.3">
      <c r="A398" t="s">
        <v>827</v>
      </c>
      <c r="B398" t="e">
        <f>VLOOKUP(A398,'Table Summary'!B:B,1,FALSE)</f>
        <v>#N/A</v>
      </c>
    </row>
    <row r="399" spans="1:2" hidden="1" x14ac:dyDescent="0.3">
      <c r="A399" t="s">
        <v>828</v>
      </c>
      <c r="B399" t="e">
        <f>VLOOKUP(A399,'Table Summary'!B:B,1,FALSE)</f>
        <v>#N/A</v>
      </c>
    </row>
    <row r="400" spans="1:2" hidden="1" x14ac:dyDescent="0.3">
      <c r="A400" t="s">
        <v>829</v>
      </c>
      <c r="B400" t="e">
        <f>VLOOKUP(A400,'Table Summary'!B:B,1,FALSE)</f>
        <v>#N/A</v>
      </c>
    </row>
    <row r="401" spans="1:2" hidden="1" x14ac:dyDescent="0.3">
      <c r="A401" t="s">
        <v>830</v>
      </c>
      <c r="B401" t="e">
        <f>VLOOKUP(A401,'Table Summary'!B:B,1,FALSE)</f>
        <v>#N/A</v>
      </c>
    </row>
    <row r="402" spans="1:2" hidden="1" x14ac:dyDescent="0.3">
      <c r="A402" t="s">
        <v>831</v>
      </c>
      <c r="B402" t="e">
        <f>VLOOKUP(A402,'Table Summary'!B:B,1,FALSE)</f>
        <v>#N/A</v>
      </c>
    </row>
    <row r="403" spans="1:2" hidden="1" x14ac:dyDescent="0.3">
      <c r="A403" t="s">
        <v>832</v>
      </c>
      <c r="B403" t="e">
        <f>VLOOKUP(A403,'Table Summary'!B:B,1,FALSE)</f>
        <v>#N/A</v>
      </c>
    </row>
    <row r="404" spans="1:2" hidden="1" x14ac:dyDescent="0.3">
      <c r="A404" t="s">
        <v>833</v>
      </c>
      <c r="B404" t="e">
        <f>VLOOKUP(A404,'Table Summary'!B:B,1,FALSE)</f>
        <v>#N/A</v>
      </c>
    </row>
    <row r="405" spans="1:2" hidden="1" x14ac:dyDescent="0.3">
      <c r="A405" t="s">
        <v>834</v>
      </c>
      <c r="B405" t="e">
        <f>VLOOKUP(A405,'Table Summary'!B:B,1,FALSE)</f>
        <v>#N/A</v>
      </c>
    </row>
    <row r="406" spans="1:2" hidden="1" x14ac:dyDescent="0.3">
      <c r="A406" t="s">
        <v>835</v>
      </c>
      <c r="B406" t="e">
        <f>VLOOKUP(A406,'Table Summary'!B:B,1,FALSE)</f>
        <v>#N/A</v>
      </c>
    </row>
    <row r="407" spans="1:2" hidden="1" x14ac:dyDescent="0.3">
      <c r="A407" t="s">
        <v>836</v>
      </c>
      <c r="B407" t="e">
        <f>VLOOKUP(A407,'Table Summary'!B:B,1,FALSE)</f>
        <v>#N/A</v>
      </c>
    </row>
    <row r="408" spans="1:2" hidden="1" x14ac:dyDescent="0.3">
      <c r="A408" t="s">
        <v>837</v>
      </c>
      <c r="B408" t="e">
        <f>VLOOKUP(A408,'Table Summary'!B:B,1,FALSE)</f>
        <v>#N/A</v>
      </c>
    </row>
    <row r="409" spans="1:2" hidden="1" x14ac:dyDescent="0.3">
      <c r="A409" t="s">
        <v>838</v>
      </c>
      <c r="B409" t="e">
        <f>VLOOKUP(A409,'Table Summary'!B:B,1,FALSE)</f>
        <v>#N/A</v>
      </c>
    </row>
    <row r="410" spans="1:2" hidden="1" x14ac:dyDescent="0.3">
      <c r="A410" t="s">
        <v>839</v>
      </c>
      <c r="B410" t="e">
        <f>VLOOKUP(A410,'Table Summary'!B:B,1,FALSE)</f>
        <v>#N/A</v>
      </c>
    </row>
    <row r="411" spans="1:2" hidden="1" x14ac:dyDescent="0.3">
      <c r="A411" t="s">
        <v>840</v>
      </c>
      <c r="B411" t="e">
        <f>VLOOKUP(A411,'Table Summary'!B:B,1,FALSE)</f>
        <v>#N/A</v>
      </c>
    </row>
    <row r="412" spans="1:2" hidden="1" x14ac:dyDescent="0.3">
      <c r="A412" t="s">
        <v>841</v>
      </c>
      <c r="B412" t="e">
        <f>VLOOKUP(A412,'Table Summary'!B:B,1,FALSE)</f>
        <v>#N/A</v>
      </c>
    </row>
    <row r="413" spans="1:2" hidden="1" x14ac:dyDescent="0.3">
      <c r="A413" t="s">
        <v>842</v>
      </c>
      <c r="B413" t="e">
        <f>VLOOKUP(A413,'Table Summary'!B:B,1,FALSE)</f>
        <v>#N/A</v>
      </c>
    </row>
    <row r="414" spans="1:2" hidden="1" x14ac:dyDescent="0.3">
      <c r="A414" t="s">
        <v>843</v>
      </c>
      <c r="B414" t="e">
        <f>VLOOKUP(A414,'Table Summary'!B:B,1,FALSE)</f>
        <v>#N/A</v>
      </c>
    </row>
    <row r="415" spans="1:2" hidden="1" x14ac:dyDescent="0.3">
      <c r="A415" t="s">
        <v>844</v>
      </c>
      <c r="B415" t="e">
        <f>VLOOKUP(A415,'Table Summary'!B:B,1,FALSE)</f>
        <v>#N/A</v>
      </c>
    </row>
    <row r="416" spans="1:2" hidden="1" x14ac:dyDescent="0.3">
      <c r="A416" t="s">
        <v>845</v>
      </c>
      <c r="B416" t="e">
        <f>VLOOKUP(A416,'Table Summary'!B:B,1,FALSE)</f>
        <v>#N/A</v>
      </c>
    </row>
    <row r="417" spans="1:2" hidden="1" x14ac:dyDescent="0.3">
      <c r="A417" t="s">
        <v>846</v>
      </c>
      <c r="B417" t="e">
        <f>VLOOKUP(A417,'Table Summary'!B:B,1,FALSE)</f>
        <v>#N/A</v>
      </c>
    </row>
    <row r="418" spans="1:2" hidden="1" x14ac:dyDescent="0.3">
      <c r="A418" t="s">
        <v>847</v>
      </c>
      <c r="B418" t="e">
        <f>VLOOKUP(A418,'Table Summary'!B:B,1,FALSE)</f>
        <v>#N/A</v>
      </c>
    </row>
    <row r="419" spans="1:2" hidden="1" x14ac:dyDescent="0.3">
      <c r="A419" t="s">
        <v>848</v>
      </c>
      <c r="B419" t="e">
        <f>VLOOKUP(A419,'Table Summary'!B:B,1,FALSE)</f>
        <v>#N/A</v>
      </c>
    </row>
    <row r="420" spans="1:2" hidden="1" x14ac:dyDescent="0.3">
      <c r="A420" t="s">
        <v>849</v>
      </c>
      <c r="B420" t="e">
        <f>VLOOKUP(A420,'Table Summary'!B:B,1,FALSE)</f>
        <v>#N/A</v>
      </c>
    </row>
    <row r="421" spans="1:2" hidden="1" x14ac:dyDescent="0.3">
      <c r="A421" t="s">
        <v>850</v>
      </c>
      <c r="B421" t="e">
        <f>VLOOKUP(A421,'Table Summary'!B:B,1,FALSE)</f>
        <v>#N/A</v>
      </c>
    </row>
    <row r="422" spans="1:2" hidden="1" x14ac:dyDescent="0.3">
      <c r="A422" t="s">
        <v>851</v>
      </c>
      <c r="B422" t="e">
        <f>VLOOKUP(A422,'Table Summary'!B:B,1,FALSE)</f>
        <v>#N/A</v>
      </c>
    </row>
    <row r="423" spans="1:2" hidden="1" x14ac:dyDescent="0.3">
      <c r="A423" t="s">
        <v>852</v>
      </c>
      <c r="B423" t="e">
        <f>VLOOKUP(A423,'Table Summary'!B:B,1,FALSE)</f>
        <v>#N/A</v>
      </c>
    </row>
    <row r="424" spans="1:2" hidden="1" x14ac:dyDescent="0.3">
      <c r="A424" t="s">
        <v>853</v>
      </c>
      <c r="B424" t="e">
        <f>VLOOKUP(A424,'Table Summary'!B:B,1,FALSE)</f>
        <v>#N/A</v>
      </c>
    </row>
    <row r="425" spans="1:2" hidden="1" x14ac:dyDescent="0.3">
      <c r="A425" t="s">
        <v>854</v>
      </c>
      <c r="B425" t="e">
        <f>VLOOKUP(A425,'Table Summary'!B:B,1,FALSE)</f>
        <v>#N/A</v>
      </c>
    </row>
    <row r="426" spans="1:2" hidden="1" x14ac:dyDescent="0.3">
      <c r="A426" t="s">
        <v>855</v>
      </c>
      <c r="B426" t="e">
        <f>VLOOKUP(A426,'Table Summary'!B:B,1,FALSE)</f>
        <v>#N/A</v>
      </c>
    </row>
    <row r="427" spans="1:2" hidden="1" x14ac:dyDescent="0.3">
      <c r="A427" t="s">
        <v>856</v>
      </c>
      <c r="B427" t="e">
        <f>VLOOKUP(A427,'Table Summary'!B:B,1,FALSE)</f>
        <v>#N/A</v>
      </c>
    </row>
    <row r="428" spans="1:2" hidden="1" x14ac:dyDescent="0.3">
      <c r="A428" t="s">
        <v>857</v>
      </c>
      <c r="B428" t="e">
        <f>VLOOKUP(A428,'Table Summary'!B:B,1,FALSE)</f>
        <v>#N/A</v>
      </c>
    </row>
    <row r="429" spans="1:2" hidden="1" x14ac:dyDescent="0.3">
      <c r="A429" t="s">
        <v>858</v>
      </c>
      <c r="B429" t="e">
        <f>VLOOKUP(A429,'Table Summary'!B:B,1,FALSE)</f>
        <v>#N/A</v>
      </c>
    </row>
    <row r="430" spans="1:2" hidden="1" x14ac:dyDescent="0.3">
      <c r="A430" t="s">
        <v>859</v>
      </c>
      <c r="B430" t="e">
        <f>VLOOKUP(A430,'Table Summary'!B:B,1,FALSE)</f>
        <v>#N/A</v>
      </c>
    </row>
    <row r="431" spans="1:2" hidden="1" x14ac:dyDescent="0.3">
      <c r="A431" t="s">
        <v>860</v>
      </c>
      <c r="B431" t="e">
        <f>VLOOKUP(A431,'Table Summary'!B:B,1,FALSE)</f>
        <v>#N/A</v>
      </c>
    </row>
    <row r="432" spans="1:2" hidden="1" x14ac:dyDescent="0.3">
      <c r="A432" t="s">
        <v>861</v>
      </c>
      <c r="B432" t="e">
        <f>VLOOKUP(A432,'Table Summary'!B:B,1,FALSE)</f>
        <v>#N/A</v>
      </c>
    </row>
    <row r="433" spans="1:2" hidden="1" x14ac:dyDescent="0.3">
      <c r="A433" t="s">
        <v>862</v>
      </c>
      <c r="B433" t="e">
        <f>VLOOKUP(A433,'Table Summary'!B:B,1,FALSE)</f>
        <v>#N/A</v>
      </c>
    </row>
    <row r="434" spans="1:2" hidden="1" x14ac:dyDescent="0.3">
      <c r="A434" t="s">
        <v>863</v>
      </c>
      <c r="B434" t="e">
        <f>VLOOKUP(A434,'Table Summary'!B:B,1,FALSE)</f>
        <v>#N/A</v>
      </c>
    </row>
    <row r="435" spans="1:2" hidden="1" x14ac:dyDescent="0.3">
      <c r="A435" t="s">
        <v>864</v>
      </c>
      <c r="B435" t="e">
        <f>VLOOKUP(A435,'Table Summary'!B:B,1,FALSE)</f>
        <v>#N/A</v>
      </c>
    </row>
    <row r="436" spans="1:2" hidden="1" x14ac:dyDescent="0.3">
      <c r="A436" t="s">
        <v>865</v>
      </c>
      <c r="B436" t="e">
        <f>VLOOKUP(A436,'Table Summary'!B:B,1,FALSE)</f>
        <v>#N/A</v>
      </c>
    </row>
    <row r="437" spans="1:2" hidden="1" x14ac:dyDescent="0.3">
      <c r="A437" t="s">
        <v>866</v>
      </c>
      <c r="B437" t="e">
        <f>VLOOKUP(A437,'Table Summary'!B:B,1,FALSE)</f>
        <v>#N/A</v>
      </c>
    </row>
    <row r="438" spans="1:2" hidden="1" x14ac:dyDescent="0.3">
      <c r="A438" t="s">
        <v>867</v>
      </c>
      <c r="B438" t="e">
        <f>VLOOKUP(A438,'Table Summary'!B:B,1,FALSE)</f>
        <v>#N/A</v>
      </c>
    </row>
    <row r="439" spans="1:2" hidden="1" x14ac:dyDescent="0.3">
      <c r="A439" t="s">
        <v>868</v>
      </c>
      <c r="B439" t="e">
        <f>VLOOKUP(A439,'Table Summary'!B:B,1,FALSE)</f>
        <v>#N/A</v>
      </c>
    </row>
    <row r="440" spans="1:2" hidden="1" x14ac:dyDescent="0.3">
      <c r="A440" t="s">
        <v>869</v>
      </c>
      <c r="B440" t="e">
        <f>VLOOKUP(A440,'Table Summary'!B:B,1,FALSE)</f>
        <v>#N/A</v>
      </c>
    </row>
    <row r="441" spans="1:2" hidden="1" x14ac:dyDescent="0.3">
      <c r="A441" t="s">
        <v>870</v>
      </c>
      <c r="B441" t="e">
        <f>VLOOKUP(A441,'Table Summary'!B:B,1,FALSE)</f>
        <v>#N/A</v>
      </c>
    </row>
    <row r="442" spans="1:2" hidden="1" x14ac:dyDescent="0.3">
      <c r="A442" t="s">
        <v>871</v>
      </c>
      <c r="B442" t="e">
        <f>VLOOKUP(A442,'Table Summary'!B:B,1,FALSE)</f>
        <v>#N/A</v>
      </c>
    </row>
    <row r="443" spans="1:2" hidden="1" x14ac:dyDescent="0.3">
      <c r="A443" t="s">
        <v>872</v>
      </c>
      <c r="B443" t="e">
        <f>VLOOKUP(A443,'Table Summary'!B:B,1,FALSE)</f>
        <v>#N/A</v>
      </c>
    </row>
    <row r="444" spans="1:2" hidden="1" x14ac:dyDescent="0.3">
      <c r="A444" t="s">
        <v>873</v>
      </c>
      <c r="B444" t="e">
        <f>VLOOKUP(A444,'Table Summary'!B:B,1,FALSE)</f>
        <v>#N/A</v>
      </c>
    </row>
    <row r="445" spans="1:2" hidden="1" x14ac:dyDescent="0.3">
      <c r="A445" t="s">
        <v>874</v>
      </c>
      <c r="B445" t="e">
        <f>VLOOKUP(A445,'Table Summary'!B:B,1,FALSE)</f>
        <v>#N/A</v>
      </c>
    </row>
    <row r="446" spans="1:2" hidden="1" x14ac:dyDescent="0.3">
      <c r="A446" t="s">
        <v>875</v>
      </c>
      <c r="B446" t="e">
        <f>VLOOKUP(A446,'Table Summary'!B:B,1,FALSE)</f>
        <v>#N/A</v>
      </c>
    </row>
    <row r="447" spans="1:2" hidden="1" x14ac:dyDescent="0.3">
      <c r="A447" t="s">
        <v>876</v>
      </c>
      <c r="B447" t="e">
        <f>VLOOKUP(A447,'Table Summary'!B:B,1,FALSE)</f>
        <v>#N/A</v>
      </c>
    </row>
    <row r="448" spans="1:2" hidden="1" x14ac:dyDescent="0.3">
      <c r="A448" t="s">
        <v>877</v>
      </c>
      <c r="B448" t="e">
        <f>VLOOKUP(A448,'Table Summary'!B:B,1,FALSE)</f>
        <v>#N/A</v>
      </c>
    </row>
    <row r="449" spans="1:2" hidden="1" x14ac:dyDescent="0.3">
      <c r="A449" t="s">
        <v>878</v>
      </c>
      <c r="B449" t="e">
        <f>VLOOKUP(A449,'Table Summary'!B:B,1,FALSE)</f>
        <v>#N/A</v>
      </c>
    </row>
    <row r="450" spans="1:2" hidden="1" x14ac:dyDescent="0.3">
      <c r="A450" t="s">
        <v>879</v>
      </c>
      <c r="B450" t="e">
        <f>VLOOKUP(A450,'Table Summary'!B:B,1,FALSE)</f>
        <v>#N/A</v>
      </c>
    </row>
    <row r="451" spans="1:2" hidden="1" x14ac:dyDescent="0.3">
      <c r="A451" t="s">
        <v>880</v>
      </c>
      <c r="B451" t="e">
        <f>VLOOKUP(A451,'Table Summary'!B:B,1,FALSE)</f>
        <v>#N/A</v>
      </c>
    </row>
    <row r="452" spans="1:2" hidden="1" x14ac:dyDescent="0.3">
      <c r="A452" t="s">
        <v>881</v>
      </c>
      <c r="B452" t="e">
        <f>VLOOKUP(A452,'Table Summary'!B:B,1,FALSE)</f>
        <v>#N/A</v>
      </c>
    </row>
    <row r="453" spans="1:2" hidden="1" x14ac:dyDescent="0.3">
      <c r="A453" t="s">
        <v>882</v>
      </c>
      <c r="B453" t="e">
        <f>VLOOKUP(A453,'Table Summary'!B:B,1,FALSE)</f>
        <v>#N/A</v>
      </c>
    </row>
    <row r="454" spans="1:2" hidden="1" x14ac:dyDescent="0.3">
      <c r="A454" t="s">
        <v>883</v>
      </c>
      <c r="B454" t="e">
        <f>VLOOKUP(A454,'Table Summary'!B:B,1,FALSE)</f>
        <v>#N/A</v>
      </c>
    </row>
    <row r="455" spans="1:2" hidden="1" x14ac:dyDescent="0.3">
      <c r="A455" t="s">
        <v>884</v>
      </c>
      <c r="B455" t="e">
        <f>VLOOKUP(A455,'Table Summary'!B:B,1,FALSE)</f>
        <v>#N/A</v>
      </c>
    </row>
    <row r="456" spans="1:2" hidden="1" x14ac:dyDescent="0.3">
      <c r="A456" t="s">
        <v>885</v>
      </c>
      <c r="B456" t="e">
        <f>VLOOKUP(A456,'Table Summary'!B:B,1,FALSE)</f>
        <v>#N/A</v>
      </c>
    </row>
    <row r="457" spans="1:2" hidden="1" x14ac:dyDescent="0.3">
      <c r="A457" t="s">
        <v>886</v>
      </c>
      <c r="B457" t="e">
        <f>VLOOKUP(A457,'Table Summary'!B:B,1,FALSE)</f>
        <v>#N/A</v>
      </c>
    </row>
    <row r="458" spans="1:2" hidden="1" x14ac:dyDescent="0.3">
      <c r="A458" t="s">
        <v>887</v>
      </c>
      <c r="B458" t="e">
        <f>VLOOKUP(A458,'Table Summary'!B:B,1,FALSE)</f>
        <v>#N/A</v>
      </c>
    </row>
    <row r="459" spans="1:2" hidden="1" x14ac:dyDescent="0.3">
      <c r="A459" t="s">
        <v>888</v>
      </c>
      <c r="B459" t="e">
        <f>VLOOKUP(A459,'Table Summary'!B:B,1,FALSE)</f>
        <v>#N/A</v>
      </c>
    </row>
    <row r="460" spans="1:2" hidden="1" x14ac:dyDescent="0.3">
      <c r="A460" t="s">
        <v>889</v>
      </c>
      <c r="B460" t="e">
        <f>VLOOKUP(A460,'Table Summary'!B:B,1,FALSE)</f>
        <v>#N/A</v>
      </c>
    </row>
    <row r="461" spans="1:2" hidden="1" x14ac:dyDescent="0.3">
      <c r="A461" t="s">
        <v>890</v>
      </c>
      <c r="B461" t="e">
        <f>VLOOKUP(A461,'Table Summary'!B:B,1,FALSE)</f>
        <v>#N/A</v>
      </c>
    </row>
    <row r="462" spans="1:2" hidden="1" x14ac:dyDescent="0.3">
      <c r="A462" t="s">
        <v>891</v>
      </c>
      <c r="B462" t="e">
        <f>VLOOKUP(A462,'Table Summary'!B:B,1,FALSE)</f>
        <v>#N/A</v>
      </c>
    </row>
    <row r="463" spans="1:2" hidden="1" x14ac:dyDescent="0.3">
      <c r="A463" t="s">
        <v>892</v>
      </c>
      <c r="B463" t="e">
        <f>VLOOKUP(A463,'Table Summary'!B:B,1,FALSE)</f>
        <v>#N/A</v>
      </c>
    </row>
    <row r="464" spans="1:2" hidden="1" x14ac:dyDescent="0.3">
      <c r="A464" t="s">
        <v>893</v>
      </c>
      <c r="B464" t="e">
        <f>VLOOKUP(A464,'Table Summary'!B:B,1,FALSE)</f>
        <v>#N/A</v>
      </c>
    </row>
    <row r="465" spans="1:2" hidden="1" x14ac:dyDescent="0.3">
      <c r="A465" t="s">
        <v>894</v>
      </c>
      <c r="B465" t="e">
        <f>VLOOKUP(A465,'Table Summary'!B:B,1,FALSE)</f>
        <v>#N/A</v>
      </c>
    </row>
    <row r="466" spans="1:2" hidden="1" x14ac:dyDescent="0.3">
      <c r="A466" t="s">
        <v>895</v>
      </c>
      <c r="B466" t="e">
        <f>VLOOKUP(A466,'Table Summary'!B:B,1,FALSE)</f>
        <v>#N/A</v>
      </c>
    </row>
    <row r="467" spans="1:2" hidden="1" x14ac:dyDescent="0.3">
      <c r="A467" t="s">
        <v>896</v>
      </c>
      <c r="B467" t="e">
        <f>VLOOKUP(A467,'Table Summary'!B:B,1,FALSE)</f>
        <v>#N/A</v>
      </c>
    </row>
    <row r="468" spans="1:2" hidden="1" x14ac:dyDescent="0.3">
      <c r="A468" t="s">
        <v>897</v>
      </c>
      <c r="B468" t="e">
        <f>VLOOKUP(A468,'Table Summary'!B:B,1,FALSE)</f>
        <v>#N/A</v>
      </c>
    </row>
    <row r="469" spans="1:2" hidden="1" x14ac:dyDescent="0.3">
      <c r="A469" t="s">
        <v>898</v>
      </c>
      <c r="B469" t="e">
        <f>VLOOKUP(A469,'Table Summary'!B:B,1,FALSE)</f>
        <v>#N/A</v>
      </c>
    </row>
    <row r="470" spans="1:2" hidden="1" x14ac:dyDescent="0.3">
      <c r="A470" t="s">
        <v>899</v>
      </c>
      <c r="B470" t="e">
        <f>VLOOKUP(A470,'Table Summary'!B:B,1,FALSE)</f>
        <v>#N/A</v>
      </c>
    </row>
    <row r="471" spans="1:2" hidden="1" x14ac:dyDescent="0.3">
      <c r="A471" t="s">
        <v>900</v>
      </c>
      <c r="B471" t="e">
        <f>VLOOKUP(A471,'Table Summary'!B:B,1,FALSE)</f>
        <v>#N/A</v>
      </c>
    </row>
    <row r="472" spans="1:2" hidden="1" x14ac:dyDescent="0.3">
      <c r="A472" t="s">
        <v>901</v>
      </c>
      <c r="B472" t="e">
        <f>VLOOKUP(A472,'Table Summary'!B:B,1,FALSE)</f>
        <v>#N/A</v>
      </c>
    </row>
    <row r="473" spans="1:2" hidden="1" x14ac:dyDescent="0.3">
      <c r="A473" t="s">
        <v>902</v>
      </c>
      <c r="B473" t="e">
        <f>VLOOKUP(A473,'Table Summary'!B:B,1,FALSE)</f>
        <v>#N/A</v>
      </c>
    </row>
    <row r="474" spans="1:2" hidden="1" x14ac:dyDescent="0.3">
      <c r="A474" t="s">
        <v>903</v>
      </c>
      <c r="B474" t="e">
        <f>VLOOKUP(A474,'Table Summary'!B:B,1,FALSE)</f>
        <v>#N/A</v>
      </c>
    </row>
    <row r="475" spans="1:2" hidden="1" x14ac:dyDescent="0.3">
      <c r="A475" t="s">
        <v>904</v>
      </c>
      <c r="B475" t="e">
        <f>VLOOKUP(A475,'Table Summary'!B:B,1,FALSE)</f>
        <v>#N/A</v>
      </c>
    </row>
    <row r="476" spans="1:2" hidden="1" x14ac:dyDescent="0.3">
      <c r="A476" t="s">
        <v>905</v>
      </c>
      <c r="B476" t="e">
        <f>VLOOKUP(A476,'Table Summary'!B:B,1,FALSE)</f>
        <v>#N/A</v>
      </c>
    </row>
    <row r="477" spans="1:2" hidden="1" x14ac:dyDescent="0.3">
      <c r="A477" t="s">
        <v>906</v>
      </c>
      <c r="B477" t="e">
        <f>VLOOKUP(A477,'Table Summary'!B:B,1,FALSE)</f>
        <v>#N/A</v>
      </c>
    </row>
    <row r="478" spans="1:2" hidden="1" x14ac:dyDescent="0.3">
      <c r="A478" t="s">
        <v>907</v>
      </c>
      <c r="B478" t="e">
        <f>VLOOKUP(A478,'Table Summary'!B:B,1,FALSE)</f>
        <v>#N/A</v>
      </c>
    </row>
    <row r="479" spans="1:2" hidden="1" x14ac:dyDescent="0.3">
      <c r="A479" t="s">
        <v>908</v>
      </c>
      <c r="B479" t="e">
        <f>VLOOKUP(A479,'Table Summary'!B:B,1,FALSE)</f>
        <v>#N/A</v>
      </c>
    </row>
    <row r="480" spans="1:2" hidden="1" x14ac:dyDescent="0.3">
      <c r="A480" t="s">
        <v>909</v>
      </c>
      <c r="B480" t="e">
        <f>VLOOKUP(A480,'Table Summary'!B:B,1,FALSE)</f>
        <v>#N/A</v>
      </c>
    </row>
    <row r="481" spans="1:2" hidden="1" x14ac:dyDescent="0.3">
      <c r="A481" t="s">
        <v>910</v>
      </c>
      <c r="B481" t="e">
        <f>VLOOKUP(A481,'Table Summary'!B:B,1,FALSE)</f>
        <v>#N/A</v>
      </c>
    </row>
    <row r="482" spans="1:2" hidden="1" x14ac:dyDescent="0.3">
      <c r="A482" t="s">
        <v>911</v>
      </c>
      <c r="B482" t="e">
        <f>VLOOKUP(A482,'Table Summary'!B:B,1,FALSE)</f>
        <v>#N/A</v>
      </c>
    </row>
    <row r="483" spans="1:2" hidden="1" x14ac:dyDescent="0.3">
      <c r="A483" t="s">
        <v>912</v>
      </c>
      <c r="B483" t="e">
        <f>VLOOKUP(A483,'Table Summary'!B:B,1,FALSE)</f>
        <v>#N/A</v>
      </c>
    </row>
    <row r="484" spans="1:2" hidden="1" x14ac:dyDescent="0.3">
      <c r="A484" t="s">
        <v>913</v>
      </c>
      <c r="B484" t="e">
        <f>VLOOKUP(A484,'Table Summary'!B:B,1,FALSE)</f>
        <v>#N/A</v>
      </c>
    </row>
    <row r="485" spans="1:2" hidden="1" x14ac:dyDescent="0.3">
      <c r="A485" t="s">
        <v>914</v>
      </c>
      <c r="B485" t="e">
        <f>VLOOKUP(A485,'Table Summary'!B:B,1,FALSE)</f>
        <v>#N/A</v>
      </c>
    </row>
    <row r="486" spans="1:2" hidden="1" x14ac:dyDescent="0.3">
      <c r="A486" t="s">
        <v>915</v>
      </c>
      <c r="B486" t="e">
        <f>VLOOKUP(A486,'Table Summary'!B:B,1,FALSE)</f>
        <v>#N/A</v>
      </c>
    </row>
    <row r="487" spans="1:2" hidden="1" x14ac:dyDescent="0.3">
      <c r="A487" t="s">
        <v>916</v>
      </c>
      <c r="B487" t="e">
        <f>VLOOKUP(A487,'Table Summary'!B:B,1,FALSE)</f>
        <v>#N/A</v>
      </c>
    </row>
    <row r="488" spans="1:2" hidden="1" x14ac:dyDescent="0.3">
      <c r="A488" t="s">
        <v>917</v>
      </c>
      <c r="B488" t="e">
        <f>VLOOKUP(A488,'Table Summary'!B:B,1,FALSE)</f>
        <v>#N/A</v>
      </c>
    </row>
    <row r="489" spans="1:2" hidden="1" x14ac:dyDescent="0.3">
      <c r="A489" t="s">
        <v>918</v>
      </c>
      <c r="B489" t="e">
        <f>VLOOKUP(A489,'Table Summary'!B:B,1,FALSE)</f>
        <v>#N/A</v>
      </c>
    </row>
    <row r="490" spans="1:2" hidden="1" x14ac:dyDescent="0.3">
      <c r="A490" t="s">
        <v>919</v>
      </c>
      <c r="B490" t="e">
        <f>VLOOKUP(A490,'Table Summary'!B:B,1,FALSE)</f>
        <v>#N/A</v>
      </c>
    </row>
    <row r="491" spans="1:2" hidden="1" x14ac:dyDescent="0.3">
      <c r="A491" t="s">
        <v>920</v>
      </c>
      <c r="B491" t="e">
        <f>VLOOKUP(A491,'Table Summary'!B:B,1,FALSE)</f>
        <v>#N/A</v>
      </c>
    </row>
    <row r="492" spans="1:2" hidden="1" x14ac:dyDescent="0.3">
      <c r="A492" t="s">
        <v>921</v>
      </c>
      <c r="B492" t="e">
        <f>VLOOKUP(A492,'Table Summary'!B:B,1,FALSE)</f>
        <v>#N/A</v>
      </c>
    </row>
    <row r="493" spans="1:2" hidden="1" x14ac:dyDescent="0.3">
      <c r="A493" t="s">
        <v>922</v>
      </c>
      <c r="B493" t="e">
        <f>VLOOKUP(A493,'Table Summary'!B:B,1,FALSE)</f>
        <v>#N/A</v>
      </c>
    </row>
    <row r="494" spans="1:2" hidden="1" x14ac:dyDescent="0.3">
      <c r="A494" t="s">
        <v>923</v>
      </c>
      <c r="B494" t="e">
        <f>VLOOKUP(A494,'Table Summary'!B:B,1,FALSE)</f>
        <v>#N/A</v>
      </c>
    </row>
    <row r="495" spans="1:2" hidden="1" x14ac:dyDescent="0.3">
      <c r="A495" t="s">
        <v>924</v>
      </c>
      <c r="B495" t="e">
        <f>VLOOKUP(A495,'Table Summary'!B:B,1,FALSE)</f>
        <v>#N/A</v>
      </c>
    </row>
    <row r="496" spans="1:2" hidden="1" x14ac:dyDescent="0.3">
      <c r="A496" t="s">
        <v>925</v>
      </c>
      <c r="B496" t="e">
        <f>VLOOKUP(A496,'Table Summary'!B:B,1,FALSE)</f>
        <v>#N/A</v>
      </c>
    </row>
    <row r="497" spans="1:2" hidden="1" x14ac:dyDescent="0.3">
      <c r="A497" t="s">
        <v>926</v>
      </c>
      <c r="B497" t="e">
        <f>VLOOKUP(A497,'Table Summary'!B:B,1,FALSE)</f>
        <v>#N/A</v>
      </c>
    </row>
    <row r="498" spans="1:2" hidden="1" x14ac:dyDescent="0.3">
      <c r="A498" t="s">
        <v>927</v>
      </c>
      <c r="B498" t="e">
        <f>VLOOKUP(A498,'Table Summary'!B:B,1,FALSE)</f>
        <v>#N/A</v>
      </c>
    </row>
    <row r="499" spans="1:2" hidden="1" x14ac:dyDescent="0.3">
      <c r="A499" t="s">
        <v>928</v>
      </c>
      <c r="B499" t="e">
        <f>VLOOKUP(A499,'Table Summary'!B:B,1,FALSE)</f>
        <v>#N/A</v>
      </c>
    </row>
    <row r="500" spans="1:2" hidden="1" x14ac:dyDescent="0.3">
      <c r="A500" t="s">
        <v>929</v>
      </c>
      <c r="B500" t="e">
        <f>VLOOKUP(A500,'Table Summary'!B:B,1,FALSE)</f>
        <v>#N/A</v>
      </c>
    </row>
    <row r="501" spans="1:2" hidden="1" x14ac:dyDescent="0.3">
      <c r="A501" t="s">
        <v>930</v>
      </c>
      <c r="B501" t="e">
        <f>VLOOKUP(A501,'Table Summary'!B:B,1,FALSE)</f>
        <v>#N/A</v>
      </c>
    </row>
    <row r="502" spans="1:2" hidden="1" x14ac:dyDescent="0.3">
      <c r="A502" t="s">
        <v>931</v>
      </c>
      <c r="B502" t="e">
        <f>VLOOKUP(A502,'Table Summary'!B:B,1,FALSE)</f>
        <v>#N/A</v>
      </c>
    </row>
    <row r="503" spans="1:2" hidden="1" x14ac:dyDescent="0.3">
      <c r="A503" t="s">
        <v>932</v>
      </c>
      <c r="B503" t="e">
        <f>VLOOKUP(A503,'Table Summary'!B:B,1,FALSE)</f>
        <v>#N/A</v>
      </c>
    </row>
    <row r="504" spans="1:2" hidden="1" x14ac:dyDescent="0.3">
      <c r="A504" t="s">
        <v>933</v>
      </c>
      <c r="B504" t="e">
        <f>VLOOKUP(A504,'Table Summary'!B:B,1,FALSE)</f>
        <v>#N/A</v>
      </c>
    </row>
    <row r="505" spans="1:2" hidden="1" x14ac:dyDescent="0.3">
      <c r="A505" t="s">
        <v>934</v>
      </c>
      <c r="B505" t="e">
        <f>VLOOKUP(A505,'Table Summary'!B:B,1,FALSE)</f>
        <v>#N/A</v>
      </c>
    </row>
    <row r="506" spans="1:2" hidden="1" x14ac:dyDescent="0.3">
      <c r="A506" t="s">
        <v>935</v>
      </c>
      <c r="B506" t="e">
        <f>VLOOKUP(A506,'Table Summary'!B:B,1,FALSE)</f>
        <v>#N/A</v>
      </c>
    </row>
    <row r="507" spans="1:2" hidden="1" x14ac:dyDescent="0.3">
      <c r="A507" t="s">
        <v>936</v>
      </c>
      <c r="B507" t="e">
        <f>VLOOKUP(A507,'Table Summary'!B:B,1,FALSE)</f>
        <v>#N/A</v>
      </c>
    </row>
    <row r="508" spans="1:2" hidden="1" x14ac:dyDescent="0.3">
      <c r="A508" t="s">
        <v>937</v>
      </c>
      <c r="B508" t="e">
        <f>VLOOKUP(A508,'Table Summary'!B:B,1,FALSE)</f>
        <v>#N/A</v>
      </c>
    </row>
    <row r="509" spans="1:2" hidden="1" x14ac:dyDescent="0.3">
      <c r="A509" t="s">
        <v>938</v>
      </c>
      <c r="B509" t="e">
        <f>VLOOKUP(A509,'Table Summary'!B:B,1,FALSE)</f>
        <v>#N/A</v>
      </c>
    </row>
    <row r="510" spans="1:2" hidden="1" x14ac:dyDescent="0.3">
      <c r="A510" t="s">
        <v>939</v>
      </c>
      <c r="B510" t="e">
        <f>VLOOKUP(A510,'Table Summary'!B:B,1,FALSE)</f>
        <v>#N/A</v>
      </c>
    </row>
    <row r="511" spans="1:2" hidden="1" x14ac:dyDescent="0.3">
      <c r="A511" t="s">
        <v>940</v>
      </c>
      <c r="B511" t="e">
        <f>VLOOKUP(A511,'Table Summary'!B:B,1,FALSE)</f>
        <v>#N/A</v>
      </c>
    </row>
    <row r="512" spans="1:2" hidden="1" x14ac:dyDescent="0.3">
      <c r="A512" t="s">
        <v>941</v>
      </c>
      <c r="B512" t="e">
        <f>VLOOKUP(A512,'Table Summary'!B:B,1,FALSE)</f>
        <v>#N/A</v>
      </c>
    </row>
    <row r="513" spans="1:2" hidden="1" x14ac:dyDescent="0.3">
      <c r="A513" t="s">
        <v>942</v>
      </c>
      <c r="B513" t="e">
        <f>VLOOKUP(A513,'Table Summary'!B:B,1,FALSE)</f>
        <v>#N/A</v>
      </c>
    </row>
    <row r="514" spans="1:2" hidden="1" x14ac:dyDescent="0.3">
      <c r="A514" t="s">
        <v>943</v>
      </c>
      <c r="B514" t="e">
        <f>VLOOKUP(A514,'Table Summary'!B:B,1,FALSE)</f>
        <v>#N/A</v>
      </c>
    </row>
    <row r="515" spans="1:2" hidden="1" x14ac:dyDescent="0.3">
      <c r="A515" t="s">
        <v>944</v>
      </c>
      <c r="B515" t="e">
        <f>VLOOKUP(A515,'Table Summary'!B:B,1,FALSE)</f>
        <v>#N/A</v>
      </c>
    </row>
    <row r="516" spans="1:2" hidden="1" x14ac:dyDescent="0.3">
      <c r="A516" t="s">
        <v>945</v>
      </c>
      <c r="B516" t="e">
        <f>VLOOKUP(A516,'Table Summary'!B:B,1,FALSE)</f>
        <v>#N/A</v>
      </c>
    </row>
    <row r="517" spans="1:2" hidden="1" x14ac:dyDescent="0.3">
      <c r="A517" t="s">
        <v>946</v>
      </c>
      <c r="B517" t="e">
        <f>VLOOKUP(A517,'Table Summary'!B:B,1,FALSE)</f>
        <v>#N/A</v>
      </c>
    </row>
    <row r="518" spans="1:2" hidden="1" x14ac:dyDescent="0.3">
      <c r="A518" t="s">
        <v>947</v>
      </c>
      <c r="B518" t="e">
        <f>VLOOKUP(A518,'Table Summary'!B:B,1,FALSE)</f>
        <v>#N/A</v>
      </c>
    </row>
    <row r="519" spans="1:2" hidden="1" x14ac:dyDescent="0.3">
      <c r="A519" t="s">
        <v>948</v>
      </c>
      <c r="B519" t="e">
        <f>VLOOKUP(A519,'Table Summary'!B:B,1,FALSE)</f>
        <v>#N/A</v>
      </c>
    </row>
    <row r="520" spans="1:2" hidden="1" x14ac:dyDescent="0.3">
      <c r="A520" t="s">
        <v>949</v>
      </c>
      <c r="B520" t="e">
        <f>VLOOKUP(A520,'Table Summary'!B:B,1,FALSE)</f>
        <v>#N/A</v>
      </c>
    </row>
    <row r="521" spans="1:2" hidden="1" x14ac:dyDescent="0.3">
      <c r="A521" t="s">
        <v>950</v>
      </c>
      <c r="B521" t="e">
        <f>VLOOKUP(A521,'Table Summary'!B:B,1,FALSE)</f>
        <v>#N/A</v>
      </c>
    </row>
    <row r="522" spans="1:2" hidden="1" x14ac:dyDescent="0.3">
      <c r="A522" t="s">
        <v>951</v>
      </c>
      <c r="B522" t="e">
        <f>VLOOKUP(A522,'Table Summary'!B:B,1,FALSE)</f>
        <v>#N/A</v>
      </c>
    </row>
    <row r="523" spans="1:2" hidden="1" x14ac:dyDescent="0.3">
      <c r="A523" t="s">
        <v>952</v>
      </c>
      <c r="B523" t="e">
        <f>VLOOKUP(A523,'Table Summary'!B:B,1,FALSE)</f>
        <v>#N/A</v>
      </c>
    </row>
    <row r="524" spans="1:2" hidden="1" x14ac:dyDescent="0.3">
      <c r="A524" t="s">
        <v>953</v>
      </c>
      <c r="B524" t="e">
        <f>VLOOKUP(A524,'Table Summary'!B:B,1,FALSE)</f>
        <v>#N/A</v>
      </c>
    </row>
    <row r="525" spans="1:2" hidden="1" x14ac:dyDescent="0.3">
      <c r="A525" t="s">
        <v>954</v>
      </c>
      <c r="B525" t="e">
        <f>VLOOKUP(A525,'Table Summary'!B:B,1,FALSE)</f>
        <v>#N/A</v>
      </c>
    </row>
    <row r="526" spans="1:2" hidden="1" x14ac:dyDescent="0.3">
      <c r="A526" t="s">
        <v>955</v>
      </c>
      <c r="B526" t="e">
        <f>VLOOKUP(A526,'Table Summary'!B:B,1,FALSE)</f>
        <v>#N/A</v>
      </c>
    </row>
    <row r="527" spans="1:2" hidden="1" x14ac:dyDescent="0.3">
      <c r="A527" t="s">
        <v>956</v>
      </c>
      <c r="B527" t="e">
        <f>VLOOKUP(A527,'Table Summary'!B:B,1,FALSE)</f>
        <v>#N/A</v>
      </c>
    </row>
    <row r="528" spans="1:2" hidden="1" x14ac:dyDescent="0.3">
      <c r="A528" t="s">
        <v>957</v>
      </c>
      <c r="B528" t="e">
        <f>VLOOKUP(A528,'Table Summary'!B:B,1,FALSE)</f>
        <v>#N/A</v>
      </c>
    </row>
    <row r="529" spans="1:2" hidden="1" x14ac:dyDescent="0.3">
      <c r="A529" t="s">
        <v>958</v>
      </c>
      <c r="B529" t="e">
        <f>VLOOKUP(A529,'Table Summary'!B:B,1,FALSE)</f>
        <v>#N/A</v>
      </c>
    </row>
    <row r="530" spans="1:2" hidden="1" x14ac:dyDescent="0.3">
      <c r="A530" t="s">
        <v>959</v>
      </c>
      <c r="B530" t="e">
        <f>VLOOKUP(A530,'Table Summary'!B:B,1,FALSE)</f>
        <v>#N/A</v>
      </c>
    </row>
    <row r="531" spans="1:2" hidden="1" x14ac:dyDescent="0.3">
      <c r="A531" t="s">
        <v>960</v>
      </c>
      <c r="B531" t="e">
        <f>VLOOKUP(A531,'Table Summary'!B:B,1,FALSE)</f>
        <v>#N/A</v>
      </c>
    </row>
    <row r="532" spans="1:2" hidden="1" x14ac:dyDescent="0.3">
      <c r="A532" t="s">
        <v>961</v>
      </c>
      <c r="B532" t="e">
        <f>VLOOKUP(A532,'Table Summary'!B:B,1,FALSE)</f>
        <v>#N/A</v>
      </c>
    </row>
    <row r="533" spans="1:2" hidden="1" x14ac:dyDescent="0.3">
      <c r="A533" t="s">
        <v>962</v>
      </c>
      <c r="B533" t="e">
        <f>VLOOKUP(A533,'Table Summary'!B:B,1,FALSE)</f>
        <v>#N/A</v>
      </c>
    </row>
    <row r="534" spans="1:2" hidden="1" x14ac:dyDescent="0.3">
      <c r="A534" t="s">
        <v>963</v>
      </c>
      <c r="B534" t="e">
        <f>VLOOKUP(A534,'Table Summary'!B:B,1,FALSE)</f>
        <v>#N/A</v>
      </c>
    </row>
    <row r="535" spans="1:2" hidden="1" x14ac:dyDescent="0.3">
      <c r="A535" t="s">
        <v>964</v>
      </c>
      <c r="B535" t="e">
        <f>VLOOKUP(A535,'Table Summary'!B:B,1,FALSE)</f>
        <v>#N/A</v>
      </c>
    </row>
    <row r="536" spans="1:2" hidden="1" x14ac:dyDescent="0.3">
      <c r="A536" t="s">
        <v>965</v>
      </c>
      <c r="B536" t="e">
        <f>VLOOKUP(A536,'Table Summary'!B:B,1,FALSE)</f>
        <v>#N/A</v>
      </c>
    </row>
    <row r="537" spans="1:2" hidden="1" x14ac:dyDescent="0.3">
      <c r="A537" t="s">
        <v>966</v>
      </c>
      <c r="B537" t="e">
        <f>VLOOKUP(A537,'Table Summary'!B:B,1,FALSE)</f>
        <v>#N/A</v>
      </c>
    </row>
    <row r="538" spans="1:2" hidden="1" x14ac:dyDescent="0.3">
      <c r="A538" t="s">
        <v>967</v>
      </c>
      <c r="B538" t="e">
        <f>VLOOKUP(A538,'Table Summary'!B:B,1,FALSE)</f>
        <v>#N/A</v>
      </c>
    </row>
    <row r="539" spans="1:2" hidden="1" x14ac:dyDescent="0.3">
      <c r="A539" t="s">
        <v>968</v>
      </c>
      <c r="B539" t="e">
        <f>VLOOKUP(A539,'Table Summary'!B:B,1,FALSE)</f>
        <v>#N/A</v>
      </c>
    </row>
    <row r="540" spans="1:2" hidden="1" x14ac:dyDescent="0.3">
      <c r="A540" t="s">
        <v>969</v>
      </c>
      <c r="B540" t="e">
        <f>VLOOKUP(A540,'Table Summary'!B:B,1,FALSE)</f>
        <v>#N/A</v>
      </c>
    </row>
    <row r="541" spans="1:2" hidden="1" x14ac:dyDescent="0.3">
      <c r="A541" t="s">
        <v>970</v>
      </c>
      <c r="B541" t="e">
        <f>VLOOKUP(A541,'Table Summary'!B:B,1,FALSE)</f>
        <v>#N/A</v>
      </c>
    </row>
    <row r="542" spans="1:2" hidden="1" x14ac:dyDescent="0.3">
      <c r="A542" t="s">
        <v>971</v>
      </c>
      <c r="B542" t="e">
        <f>VLOOKUP(A542,'Table Summary'!B:B,1,FALSE)</f>
        <v>#N/A</v>
      </c>
    </row>
    <row r="543" spans="1:2" hidden="1" x14ac:dyDescent="0.3">
      <c r="A543" t="s">
        <v>972</v>
      </c>
      <c r="B543" t="e">
        <f>VLOOKUP(A543,'Table Summary'!B:B,1,FALSE)</f>
        <v>#N/A</v>
      </c>
    </row>
    <row r="544" spans="1:2" hidden="1" x14ac:dyDescent="0.3">
      <c r="A544" t="s">
        <v>973</v>
      </c>
      <c r="B544" t="e">
        <f>VLOOKUP(A544,'Table Summary'!B:B,1,FALSE)</f>
        <v>#N/A</v>
      </c>
    </row>
    <row r="545" spans="1:2" hidden="1" x14ac:dyDescent="0.3">
      <c r="A545" t="s">
        <v>974</v>
      </c>
      <c r="B545" t="e">
        <f>VLOOKUP(A545,'Table Summary'!B:B,1,FALSE)</f>
        <v>#N/A</v>
      </c>
    </row>
    <row r="546" spans="1:2" hidden="1" x14ac:dyDescent="0.3">
      <c r="A546" t="s">
        <v>975</v>
      </c>
      <c r="B546" t="e">
        <f>VLOOKUP(A546,'Table Summary'!B:B,1,FALSE)</f>
        <v>#N/A</v>
      </c>
    </row>
    <row r="547" spans="1:2" hidden="1" x14ac:dyDescent="0.3">
      <c r="A547" t="s">
        <v>976</v>
      </c>
      <c r="B547" t="e">
        <f>VLOOKUP(A547,'Table Summary'!B:B,1,FALSE)</f>
        <v>#N/A</v>
      </c>
    </row>
    <row r="548" spans="1:2" hidden="1" x14ac:dyDescent="0.3">
      <c r="A548" t="s">
        <v>977</v>
      </c>
      <c r="B548" t="e">
        <f>VLOOKUP(A548,'Table Summary'!B:B,1,FALSE)</f>
        <v>#N/A</v>
      </c>
    </row>
    <row r="549" spans="1:2" hidden="1" x14ac:dyDescent="0.3">
      <c r="A549" t="s">
        <v>978</v>
      </c>
      <c r="B549" t="e">
        <f>VLOOKUP(A549,'Table Summary'!B:B,1,FALSE)</f>
        <v>#N/A</v>
      </c>
    </row>
    <row r="550" spans="1:2" hidden="1" x14ac:dyDescent="0.3">
      <c r="A550" t="s">
        <v>979</v>
      </c>
      <c r="B550" t="e">
        <f>VLOOKUP(A550,'Table Summary'!B:B,1,FALSE)</f>
        <v>#N/A</v>
      </c>
    </row>
    <row r="551" spans="1:2" hidden="1" x14ac:dyDescent="0.3">
      <c r="A551" t="s">
        <v>980</v>
      </c>
      <c r="B551" t="e">
        <f>VLOOKUP(A551,'Table Summary'!B:B,1,FALSE)</f>
        <v>#N/A</v>
      </c>
    </row>
    <row r="552" spans="1:2" hidden="1" x14ac:dyDescent="0.3">
      <c r="A552" t="s">
        <v>981</v>
      </c>
      <c r="B552" t="e">
        <f>VLOOKUP(A552,'Table Summary'!B:B,1,FALSE)</f>
        <v>#N/A</v>
      </c>
    </row>
    <row r="553" spans="1:2" hidden="1" x14ac:dyDescent="0.3">
      <c r="A553" t="s">
        <v>982</v>
      </c>
      <c r="B553" t="e">
        <f>VLOOKUP(A553,'Table Summary'!B:B,1,FALSE)</f>
        <v>#N/A</v>
      </c>
    </row>
    <row r="554" spans="1:2" hidden="1" x14ac:dyDescent="0.3">
      <c r="A554" t="s">
        <v>983</v>
      </c>
      <c r="B554" t="e">
        <f>VLOOKUP(A554,'Table Summary'!B:B,1,FALSE)</f>
        <v>#N/A</v>
      </c>
    </row>
    <row r="555" spans="1:2" hidden="1" x14ac:dyDescent="0.3">
      <c r="A555" t="s">
        <v>984</v>
      </c>
      <c r="B555" t="e">
        <f>VLOOKUP(A555,'Table Summary'!B:B,1,FALSE)</f>
        <v>#N/A</v>
      </c>
    </row>
    <row r="556" spans="1:2" hidden="1" x14ac:dyDescent="0.3">
      <c r="A556" t="s">
        <v>985</v>
      </c>
      <c r="B556" t="e">
        <f>VLOOKUP(A556,'Table Summary'!B:B,1,FALSE)</f>
        <v>#N/A</v>
      </c>
    </row>
    <row r="557" spans="1:2" hidden="1" x14ac:dyDescent="0.3">
      <c r="A557" t="s">
        <v>986</v>
      </c>
      <c r="B557" t="e">
        <f>VLOOKUP(A557,'Table Summary'!B:B,1,FALSE)</f>
        <v>#N/A</v>
      </c>
    </row>
    <row r="558" spans="1:2" hidden="1" x14ac:dyDescent="0.3">
      <c r="A558" t="s">
        <v>987</v>
      </c>
      <c r="B558" t="e">
        <f>VLOOKUP(A558,'Table Summary'!B:B,1,FALSE)</f>
        <v>#N/A</v>
      </c>
    </row>
    <row r="559" spans="1:2" hidden="1" x14ac:dyDescent="0.3">
      <c r="A559" t="s">
        <v>988</v>
      </c>
      <c r="B559" t="e">
        <f>VLOOKUP(A559,'Table Summary'!B:B,1,FALSE)</f>
        <v>#N/A</v>
      </c>
    </row>
    <row r="560" spans="1:2" hidden="1" x14ac:dyDescent="0.3">
      <c r="A560" t="s">
        <v>989</v>
      </c>
      <c r="B560" t="e">
        <f>VLOOKUP(A560,'Table Summary'!B:B,1,FALSE)</f>
        <v>#N/A</v>
      </c>
    </row>
    <row r="561" spans="1:2" hidden="1" x14ac:dyDescent="0.3">
      <c r="A561" t="s">
        <v>990</v>
      </c>
      <c r="B561" t="e">
        <f>VLOOKUP(A561,'Table Summary'!B:B,1,FALSE)</f>
        <v>#N/A</v>
      </c>
    </row>
    <row r="562" spans="1:2" hidden="1" x14ac:dyDescent="0.3">
      <c r="A562" t="s">
        <v>991</v>
      </c>
      <c r="B562" t="e">
        <f>VLOOKUP(A562,'Table Summary'!B:B,1,FALSE)</f>
        <v>#N/A</v>
      </c>
    </row>
    <row r="563" spans="1:2" hidden="1" x14ac:dyDescent="0.3">
      <c r="A563" t="s">
        <v>992</v>
      </c>
      <c r="B563" t="e">
        <f>VLOOKUP(A563,'Table Summary'!B:B,1,FALSE)</f>
        <v>#N/A</v>
      </c>
    </row>
    <row r="564" spans="1:2" hidden="1" x14ac:dyDescent="0.3">
      <c r="A564" t="s">
        <v>993</v>
      </c>
      <c r="B564" t="e">
        <f>VLOOKUP(A564,'Table Summary'!B:B,1,FALSE)</f>
        <v>#N/A</v>
      </c>
    </row>
    <row r="565" spans="1:2" hidden="1" x14ac:dyDescent="0.3">
      <c r="A565" t="s">
        <v>994</v>
      </c>
      <c r="B565" t="e">
        <f>VLOOKUP(A565,'Table Summary'!B:B,1,FALSE)</f>
        <v>#N/A</v>
      </c>
    </row>
    <row r="566" spans="1:2" hidden="1" x14ac:dyDescent="0.3">
      <c r="A566" t="s">
        <v>995</v>
      </c>
      <c r="B566" t="e">
        <f>VLOOKUP(A566,'Table Summary'!B:B,1,FALSE)</f>
        <v>#N/A</v>
      </c>
    </row>
    <row r="567" spans="1:2" hidden="1" x14ac:dyDescent="0.3">
      <c r="A567" t="s">
        <v>996</v>
      </c>
      <c r="B567" t="e">
        <f>VLOOKUP(A567,'Table Summary'!B:B,1,FALSE)</f>
        <v>#N/A</v>
      </c>
    </row>
    <row r="568" spans="1:2" hidden="1" x14ac:dyDescent="0.3">
      <c r="A568" t="s">
        <v>997</v>
      </c>
      <c r="B568" t="e">
        <f>VLOOKUP(A568,'Table Summary'!B:B,1,FALSE)</f>
        <v>#N/A</v>
      </c>
    </row>
    <row r="569" spans="1:2" hidden="1" x14ac:dyDescent="0.3">
      <c r="A569" t="s">
        <v>998</v>
      </c>
      <c r="B569" t="e">
        <f>VLOOKUP(A569,'Table Summary'!B:B,1,FALSE)</f>
        <v>#N/A</v>
      </c>
    </row>
    <row r="570" spans="1:2" hidden="1" x14ac:dyDescent="0.3">
      <c r="A570" t="s">
        <v>999</v>
      </c>
      <c r="B570" t="e">
        <f>VLOOKUP(A570,'Table Summary'!B:B,1,FALSE)</f>
        <v>#N/A</v>
      </c>
    </row>
    <row r="571" spans="1:2" hidden="1" x14ac:dyDescent="0.3">
      <c r="A571" t="s">
        <v>1000</v>
      </c>
      <c r="B571" t="e">
        <f>VLOOKUP(A571,'Table Summary'!B:B,1,FALSE)</f>
        <v>#N/A</v>
      </c>
    </row>
    <row r="572" spans="1:2" hidden="1" x14ac:dyDescent="0.3">
      <c r="A572" t="s">
        <v>1001</v>
      </c>
      <c r="B572" t="e">
        <f>VLOOKUP(A572,'Table Summary'!B:B,1,FALSE)</f>
        <v>#N/A</v>
      </c>
    </row>
    <row r="573" spans="1:2" hidden="1" x14ac:dyDescent="0.3">
      <c r="A573" t="s">
        <v>1002</v>
      </c>
      <c r="B573" t="e">
        <f>VLOOKUP(A573,'Table Summary'!B:B,1,FALSE)</f>
        <v>#N/A</v>
      </c>
    </row>
    <row r="574" spans="1:2" hidden="1" x14ac:dyDescent="0.3">
      <c r="A574" t="s">
        <v>1003</v>
      </c>
      <c r="B574" t="e">
        <f>VLOOKUP(A574,'Table Summary'!B:B,1,FALSE)</f>
        <v>#N/A</v>
      </c>
    </row>
    <row r="575" spans="1:2" hidden="1" x14ac:dyDescent="0.3">
      <c r="A575" t="s">
        <v>1004</v>
      </c>
      <c r="B575" t="e">
        <f>VLOOKUP(A575,'Table Summary'!B:B,1,FALSE)</f>
        <v>#N/A</v>
      </c>
    </row>
    <row r="576" spans="1:2" hidden="1" x14ac:dyDescent="0.3">
      <c r="A576" t="s">
        <v>1005</v>
      </c>
      <c r="B576" t="e">
        <f>VLOOKUP(A576,'Table Summary'!B:B,1,FALSE)</f>
        <v>#N/A</v>
      </c>
    </row>
    <row r="577" spans="1:2" hidden="1" x14ac:dyDescent="0.3">
      <c r="A577" t="s">
        <v>1006</v>
      </c>
      <c r="B577" t="e">
        <f>VLOOKUP(A577,'Table Summary'!B:B,1,FALSE)</f>
        <v>#N/A</v>
      </c>
    </row>
    <row r="578" spans="1:2" hidden="1" x14ac:dyDescent="0.3">
      <c r="A578" t="s">
        <v>1007</v>
      </c>
      <c r="B578" t="e">
        <f>VLOOKUP(A578,'Table Summary'!B:B,1,FALSE)</f>
        <v>#N/A</v>
      </c>
    </row>
    <row r="579" spans="1:2" hidden="1" x14ac:dyDescent="0.3">
      <c r="A579" t="s">
        <v>1008</v>
      </c>
      <c r="B579" t="e">
        <f>VLOOKUP(A579,'Table Summary'!B:B,1,FALSE)</f>
        <v>#N/A</v>
      </c>
    </row>
    <row r="580" spans="1:2" hidden="1" x14ac:dyDescent="0.3">
      <c r="A580" t="s">
        <v>1009</v>
      </c>
      <c r="B580" t="e">
        <f>VLOOKUP(A580,'Table Summary'!B:B,1,FALSE)</f>
        <v>#N/A</v>
      </c>
    </row>
    <row r="581" spans="1:2" hidden="1" x14ac:dyDescent="0.3">
      <c r="A581" t="s">
        <v>1010</v>
      </c>
      <c r="B581" t="e">
        <f>VLOOKUP(A581,'Table Summary'!B:B,1,FALSE)</f>
        <v>#N/A</v>
      </c>
    </row>
    <row r="582" spans="1:2" hidden="1" x14ac:dyDescent="0.3">
      <c r="A582" t="s">
        <v>1011</v>
      </c>
      <c r="B582" t="e">
        <f>VLOOKUP(A582,'Table Summary'!B:B,1,FALSE)</f>
        <v>#N/A</v>
      </c>
    </row>
    <row r="583" spans="1:2" hidden="1" x14ac:dyDescent="0.3">
      <c r="A583" t="s">
        <v>1012</v>
      </c>
      <c r="B583" t="e">
        <f>VLOOKUP(A583,'Table Summary'!B:B,1,FALSE)</f>
        <v>#N/A</v>
      </c>
    </row>
    <row r="584" spans="1:2" hidden="1" x14ac:dyDescent="0.3">
      <c r="A584" t="s">
        <v>1013</v>
      </c>
      <c r="B584" t="e">
        <f>VLOOKUP(A584,'Table Summary'!B:B,1,FALSE)</f>
        <v>#N/A</v>
      </c>
    </row>
    <row r="585" spans="1:2" hidden="1" x14ac:dyDescent="0.3">
      <c r="A585" t="s">
        <v>1014</v>
      </c>
      <c r="B585" t="e">
        <f>VLOOKUP(A585,'Table Summary'!B:B,1,FALSE)</f>
        <v>#N/A</v>
      </c>
    </row>
    <row r="586" spans="1:2" hidden="1" x14ac:dyDescent="0.3">
      <c r="A586" t="s">
        <v>1015</v>
      </c>
      <c r="B586" t="e">
        <f>VLOOKUP(A586,'Table Summary'!B:B,1,FALSE)</f>
        <v>#N/A</v>
      </c>
    </row>
    <row r="587" spans="1:2" hidden="1" x14ac:dyDescent="0.3">
      <c r="A587" t="s">
        <v>1016</v>
      </c>
      <c r="B587" t="e">
        <f>VLOOKUP(A587,'Table Summary'!B:B,1,FALSE)</f>
        <v>#N/A</v>
      </c>
    </row>
    <row r="588" spans="1:2" hidden="1" x14ac:dyDescent="0.3">
      <c r="A588" t="s">
        <v>1017</v>
      </c>
      <c r="B588" t="e">
        <f>VLOOKUP(A588,'Table Summary'!B:B,1,FALSE)</f>
        <v>#N/A</v>
      </c>
    </row>
    <row r="589" spans="1:2" hidden="1" x14ac:dyDescent="0.3">
      <c r="A589" t="s">
        <v>1018</v>
      </c>
      <c r="B589" t="e">
        <f>VLOOKUP(A589,'Table Summary'!B:B,1,FALSE)</f>
        <v>#N/A</v>
      </c>
    </row>
    <row r="590" spans="1:2" hidden="1" x14ac:dyDescent="0.3">
      <c r="A590" t="s">
        <v>1019</v>
      </c>
      <c r="B590" t="e">
        <f>VLOOKUP(A590,'Table Summary'!B:B,1,FALSE)</f>
        <v>#N/A</v>
      </c>
    </row>
    <row r="591" spans="1:2" hidden="1" x14ac:dyDescent="0.3">
      <c r="A591" t="s">
        <v>1020</v>
      </c>
      <c r="B591" t="e">
        <f>VLOOKUP(A591,'Table Summary'!B:B,1,FALSE)</f>
        <v>#N/A</v>
      </c>
    </row>
    <row r="592" spans="1:2" hidden="1" x14ac:dyDescent="0.3">
      <c r="A592" t="s">
        <v>1021</v>
      </c>
      <c r="B592" t="e">
        <f>VLOOKUP(A592,'Table Summary'!B:B,1,FALSE)</f>
        <v>#N/A</v>
      </c>
    </row>
    <row r="593" spans="1:2" hidden="1" x14ac:dyDescent="0.3">
      <c r="A593" t="s">
        <v>1022</v>
      </c>
      <c r="B593" t="e">
        <f>VLOOKUP(A593,'Table Summary'!B:B,1,FALSE)</f>
        <v>#N/A</v>
      </c>
    </row>
    <row r="594" spans="1:2" hidden="1" x14ac:dyDescent="0.3">
      <c r="A594" t="s">
        <v>1023</v>
      </c>
      <c r="B594" t="e">
        <f>VLOOKUP(A594,'Table Summary'!B:B,1,FALSE)</f>
        <v>#N/A</v>
      </c>
    </row>
    <row r="595" spans="1:2" hidden="1" x14ac:dyDescent="0.3">
      <c r="A595" t="s">
        <v>1024</v>
      </c>
      <c r="B595" t="e">
        <f>VLOOKUP(A595,'Table Summary'!B:B,1,FALSE)</f>
        <v>#N/A</v>
      </c>
    </row>
    <row r="596" spans="1:2" hidden="1" x14ac:dyDescent="0.3">
      <c r="A596" t="s">
        <v>1025</v>
      </c>
      <c r="B596" t="e">
        <f>VLOOKUP(A596,'Table Summary'!B:B,1,FALSE)</f>
        <v>#N/A</v>
      </c>
    </row>
    <row r="597" spans="1:2" hidden="1" x14ac:dyDescent="0.3">
      <c r="A597" t="s">
        <v>1026</v>
      </c>
      <c r="B597" t="e">
        <f>VLOOKUP(A597,'Table Summary'!B:B,1,FALSE)</f>
        <v>#N/A</v>
      </c>
    </row>
    <row r="598" spans="1:2" hidden="1" x14ac:dyDescent="0.3">
      <c r="A598" t="s">
        <v>1027</v>
      </c>
      <c r="B598" t="e">
        <f>VLOOKUP(A598,'Table Summary'!B:B,1,FALSE)</f>
        <v>#N/A</v>
      </c>
    </row>
    <row r="599" spans="1:2" hidden="1" x14ac:dyDescent="0.3">
      <c r="A599" t="s">
        <v>1028</v>
      </c>
      <c r="B599" t="e">
        <f>VLOOKUP(A599,'Table Summary'!B:B,1,FALSE)</f>
        <v>#N/A</v>
      </c>
    </row>
    <row r="600" spans="1:2" hidden="1" x14ac:dyDescent="0.3">
      <c r="A600" t="s">
        <v>1029</v>
      </c>
      <c r="B600" t="e">
        <f>VLOOKUP(A600,'Table Summary'!B:B,1,FALSE)</f>
        <v>#N/A</v>
      </c>
    </row>
    <row r="601" spans="1:2" hidden="1" x14ac:dyDescent="0.3">
      <c r="A601" t="s">
        <v>1030</v>
      </c>
      <c r="B601" t="e">
        <f>VLOOKUP(A601,'Table Summary'!B:B,1,FALSE)</f>
        <v>#N/A</v>
      </c>
    </row>
    <row r="602" spans="1:2" hidden="1" x14ac:dyDescent="0.3">
      <c r="A602" t="s">
        <v>1031</v>
      </c>
      <c r="B602" t="e">
        <f>VLOOKUP(A602,'Table Summary'!B:B,1,FALSE)</f>
        <v>#N/A</v>
      </c>
    </row>
    <row r="603" spans="1:2" hidden="1" x14ac:dyDescent="0.3">
      <c r="A603" t="s">
        <v>1032</v>
      </c>
      <c r="B603" t="e">
        <f>VLOOKUP(A603,'Table Summary'!B:B,1,FALSE)</f>
        <v>#N/A</v>
      </c>
    </row>
    <row r="604" spans="1:2" hidden="1" x14ac:dyDescent="0.3">
      <c r="A604" t="s">
        <v>1033</v>
      </c>
      <c r="B604" t="e">
        <f>VLOOKUP(A604,'Table Summary'!B:B,1,FALSE)</f>
        <v>#N/A</v>
      </c>
    </row>
    <row r="605" spans="1:2" hidden="1" x14ac:dyDescent="0.3">
      <c r="A605" t="s">
        <v>1034</v>
      </c>
      <c r="B605" t="e">
        <f>VLOOKUP(A605,'Table Summary'!B:B,1,FALSE)</f>
        <v>#N/A</v>
      </c>
    </row>
    <row r="606" spans="1:2" hidden="1" x14ac:dyDescent="0.3">
      <c r="A606" t="s">
        <v>1035</v>
      </c>
      <c r="B606" t="e">
        <f>VLOOKUP(A606,'Table Summary'!B:B,1,FALSE)</f>
        <v>#N/A</v>
      </c>
    </row>
    <row r="607" spans="1:2" hidden="1" x14ac:dyDescent="0.3">
      <c r="A607" t="s">
        <v>1036</v>
      </c>
      <c r="B607" t="e">
        <f>VLOOKUP(A607,'Table Summary'!B:B,1,FALSE)</f>
        <v>#N/A</v>
      </c>
    </row>
    <row r="608" spans="1:2" hidden="1" x14ac:dyDescent="0.3">
      <c r="A608" t="s">
        <v>1037</v>
      </c>
      <c r="B608" t="e">
        <f>VLOOKUP(A608,'Table Summary'!B:B,1,FALSE)</f>
        <v>#N/A</v>
      </c>
    </row>
    <row r="609" spans="1:2" hidden="1" x14ac:dyDescent="0.3">
      <c r="A609" t="s">
        <v>1038</v>
      </c>
      <c r="B609" t="e">
        <f>VLOOKUP(A609,'Table Summary'!B:B,1,FALSE)</f>
        <v>#N/A</v>
      </c>
    </row>
    <row r="610" spans="1:2" hidden="1" x14ac:dyDescent="0.3">
      <c r="A610" t="s">
        <v>1039</v>
      </c>
      <c r="B610" t="e">
        <f>VLOOKUP(A610,'Table Summary'!B:B,1,FALSE)</f>
        <v>#N/A</v>
      </c>
    </row>
    <row r="611" spans="1:2" hidden="1" x14ac:dyDescent="0.3">
      <c r="A611" t="s">
        <v>1040</v>
      </c>
      <c r="B611" t="e">
        <f>VLOOKUP(A611,'Table Summary'!B:B,1,FALSE)</f>
        <v>#N/A</v>
      </c>
    </row>
    <row r="612" spans="1:2" hidden="1" x14ac:dyDescent="0.3">
      <c r="A612" t="s">
        <v>1041</v>
      </c>
      <c r="B612" t="e">
        <f>VLOOKUP(A612,'Table Summary'!B:B,1,FALSE)</f>
        <v>#N/A</v>
      </c>
    </row>
    <row r="613" spans="1:2" hidden="1" x14ac:dyDescent="0.3">
      <c r="A613" t="s">
        <v>1042</v>
      </c>
      <c r="B613" t="e">
        <f>VLOOKUP(A613,'Table Summary'!B:B,1,FALSE)</f>
        <v>#N/A</v>
      </c>
    </row>
    <row r="614" spans="1:2" hidden="1" x14ac:dyDescent="0.3">
      <c r="A614" t="s">
        <v>1043</v>
      </c>
      <c r="B614" t="e">
        <f>VLOOKUP(A614,'Table Summary'!B:B,1,FALSE)</f>
        <v>#N/A</v>
      </c>
    </row>
    <row r="615" spans="1:2" hidden="1" x14ac:dyDescent="0.3">
      <c r="A615" t="s">
        <v>1044</v>
      </c>
      <c r="B615" t="e">
        <f>VLOOKUP(A615,'Table Summary'!B:B,1,FALSE)</f>
        <v>#N/A</v>
      </c>
    </row>
    <row r="616" spans="1:2" hidden="1" x14ac:dyDescent="0.3">
      <c r="A616" t="s">
        <v>1045</v>
      </c>
      <c r="B616" t="e">
        <f>VLOOKUP(A616,'Table Summary'!B:B,1,FALSE)</f>
        <v>#N/A</v>
      </c>
    </row>
    <row r="617" spans="1:2" hidden="1" x14ac:dyDescent="0.3">
      <c r="A617" t="s">
        <v>1046</v>
      </c>
      <c r="B617" t="e">
        <f>VLOOKUP(A617,'Table Summary'!B:B,1,FALSE)</f>
        <v>#N/A</v>
      </c>
    </row>
    <row r="618" spans="1:2" hidden="1" x14ac:dyDescent="0.3">
      <c r="A618" t="s">
        <v>1047</v>
      </c>
      <c r="B618" t="e">
        <f>VLOOKUP(A618,'Table Summary'!B:B,1,FALSE)</f>
        <v>#N/A</v>
      </c>
    </row>
    <row r="619" spans="1:2" hidden="1" x14ac:dyDescent="0.3">
      <c r="A619" t="s">
        <v>1048</v>
      </c>
      <c r="B619" t="e">
        <f>VLOOKUP(A619,'Table Summary'!B:B,1,FALSE)</f>
        <v>#N/A</v>
      </c>
    </row>
    <row r="620" spans="1:2" hidden="1" x14ac:dyDescent="0.3">
      <c r="A620" t="s">
        <v>1049</v>
      </c>
      <c r="B620" t="e">
        <f>VLOOKUP(A620,'Table Summary'!B:B,1,FALSE)</f>
        <v>#N/A</v>
      </c>
    </row>
    <row r="621" spans="1:2" hidden="1" x14ac:dyDescent="0.3">
      <c r="A621" t="s">
        <v>1050</v>
      </c>
      <c r="B621" t="e">
        <f>VLOOKUP(A621,'Table Summary'!B:B,1,FALSE)</f>
        <v>#N/A</v>
      </c>
    </row>
    <row r="622" spans="1:2" hidden="1" x14ac:dyDescent="0.3">
      <c r="A622" t="s">
        <v>1051</v>
      </c>
      <c r="B622" t="e">
        <f>VLOOKUP(A622,'Table Summary'!B:B,1,FALSE)</f>
        <v>#N/A</v>
      </c>
    </row>
    <row r="623" spans="1:2" hidden="1" x14ac:dyDescent="0.3">
      <c r="A623" t="s">
        <v>1052</v>
      </c>
      <c r="B623" t="e">
        <f>VLOOKUP(A623,'Table Summary'!B:B,1,FALSE)</f>
        <v>#N/A</v>
      </c>
    </row>
    <row r="624" spans="1:2" hidden="1" x14ac:dyDescent="0.3">
      <c r="A624" t="s">
        <v>1053</v>
      </c>
      <c r="B624" t="e">
        <f>VLOOKUP(A624,'Table Summary'!B:B,1,FALSE)</f>
        <v>#N/A</v>
      </c>
    </row>
    <row r="625" spans="1:2" hidden="1" x14ac:dyDescent="0.3">
      <c r="A625" t="s">
        <v>1054</v>
      </c>
      <c r="B625" t="e">
        <f>VLOOKUP(A625,'Table Summary'!B:B,1,FALSE)</f>
        <v>#N/A</v>
      </c>
    </row>
    <row r="626" spans="1:2" hidden="1" x14ac:dyDescent="0.3">
      <c r="A626" t="s">
        <v>1055</v>
      </c>
      <c r="B626" t="e">
        <f>VLOOKUP(A626,'Table Summary'!B:B,1,FALSE)</f>
        <v>#N/A</v>
      </c>
    </row>
    <row r="627" spans="1:2" hidden="1" x14ac:dyDescent="0.3">
      <c r="A627" t="s">
        <v>1056</v>
      </c>
      <c r="B627" t="e">
        <f>VLOOKUP(A627,'Table Summary'!B:B,1,FALSE)</f>
        <v>#N/A</v>
      </c>
    </row>
    <row r="628" spans="1:2" hidden="1" x14ac:dyDescent="0.3">
      <c r="A628" t="s">
        <v>1057</v>
      </c>
      <c r="B628" t="e">
        <f>VLOOKUP(A628,'Table Summary'!B:B,1,FALSE)</f>
        <v>#N/A</v>
      </c>
    </row>
    <row r="629" spans="1:2" hidden="1" x14ac:dyDescent="0.3">
      <c r="A629" t="s">
        <v>1058</v>
      </c>
      <c r="B629" t="e">
        <f>VLOOKUP(A629,'Table Summary'!B:B,1,FALSE)</f>
        <v>#N/A</v>
      </c>
    </row>
    <row r="630" spans="1:2" hidden="1" x14ac:dyDescent="0.3">
      <c r="A630" t="s">
        <v>1059</v>
      </c>
      <c r="B630" t="e">
        <f>VLOOKUP(A630,'Table Summary'!B:B,1,FALSE)</f>
        <v>#N/A</v>
      </c>
    </row>
    <row r="631" spans="1:2" hidden="1" x14ac:dyDescent="0.3">
      <c r="A631" t="s">
        <v>1060</v>
      </c>
      <c r="B631" t="e">
        <f>VLOOKUP(A631,'Table Summary'!B:B,1,FALSE)</f>
        <v>#N/A</v>
      </c>
    </row>
    <row r="632" spans="1:2" hidden="1" x14ac:dyDescent="0.3">
      <c r="A632" t="s">
        <v>1061</v>
      </c>
      <c r="B632" t="e">
        <f>VLOOKUP(A632,'Table Summary'!B:B,1,FALSE)</f>
        <v>#N/A</v>
      </c>
    </row>
    <row r="633" spans="1:2" hidden="1" x14ac:dyDescent="0.3">
      <c r="A633" t="s">
        <v>1062</v>
      </c>
      <c r="B633" t="e">
        <f>VLOOKUP(A633,'Table Summary'!B:B,1,FALSE)</f>
        <v>#N/A</v>
      </c>
    </row>
    <row r="634" spans="1:2" hidden="1" x14ac:dyDescent="0.3">
      <c r="A634" t="s">
        <v>1063</v>
      </c>
      <c r="B634" t="e">
        <f>VLOOKUP(A634,'Table Summary'!B:B,1,FALSE)</f>
        <v>#N/A</v>
      </c>
    </row>
    <row r="635" spans="1:2" hidden="1" x14ac:dyDescent="0.3">
      <c r="A635" t="s">
        <v>1064</v>
      </c>
      <c r="B635" t="e">
        <f>VLOOKUP(A635,'Table Summary'!B:B,1,FALSE)</f>
        <v>#N/A</v>
      </c>
    </row>
    <row r="636" spans="1:2" hidden="1" x14ac:dyDescent="0.3">
      <c r="A636" t="s">
        <v>1065</v>
      </c>
      <c r="B636" t="e">
        <f>VLOOKUP(A636,'Table Summary'!B:B,1,FALSE)</f>
        <v>#N/A</v>
      </c>
    </row>
    <row r="637" spans="1:2" hidden="1" x14ac:dyDescent="0.3">
      <c r="A637" t="s">
        <v>1066</v>
      </c>
      <c r="B637" t="e">
        <f>VLOOKUP(A637,'Table Summary'!B:B,1,FALSE)</f>
        <v>#N/A</v>
      </c>
    </row>
    <row r="638" spans="1:2" hidden="1" x14ac:dyDescent="0.3">
      <c r="A638" t="s">
        <v>1067</v>
      </c>
      <c r="B638" t="e">
        <f>VLOOKUP(A638,'Table Summary'!B:B,1,FALSE)</f>
        <v>#N/A</v>
      </c>
    </row>
    <row r="639" spans="1:2" hidden="1" x14ac:dyDescent="0.3">
      <c r="A639" t="s">
        <v>1068</v>
      </c>
      <c r="B639" t="e">
        <f>VLOOKUP(A639,'Table Summary'!B:B,1,FALSE)</f>
        <v>#N/A</v>
      </c>
    </row>
    <row r="640" spans="1:2" hidden="1" x14ac:dyDescent="0.3">
      <c r="A640" t="s">
        <v>1069</v>
      </c>
      <c r="B640" t="e">
        <f>VLOOKUP(A640,'Table Summary'!B:B,1,FALSE)</f>
        <v>#N/A</v>
      </c>
    </row>
    <row r="641" spans="1:2" hidden="1" x14ac:dyDescent="0.3">
      <c r="A641" t="s">
        <v>1070</v>
      </c>
      <c r="B641" t="e">
        <f>VLOOKUP(A641,'Table Summary'!B:B,1,FALSE)</f>
        <v>#N/A</v>
      </c>
    </row>
    <row r="642" spans="1:2" hidden="1" x14ac:dyDescent="0.3">
      <c r="A642" t="s">
        <v>1071</v>
      </c>
      <c r="B642" t="e">
        <f>VLOOKUP(A642,'Table Summary'!B:B,1,FALSE)</f>
        <v>#N/A</v>
      </c>
    </row>
    <row r="643" spans="1:2" hidden="1" x14ac:dyDescent="0.3">
      <c r="A643" t="s">
        <v>1072</v>
      </c>
      <c r="B643" t="e">
        <f>VLOOKUP(A643,'Table Summary'!B:B,1,FALSE)</f>
        <v>#N/A</v>
      </c>
    </row>
    <row r="644" spans="1:2" hidden="1" x14ac:dyDescent="0.3">
      <c r="A644" t="s">
        <v>1073</v>
      </c>
      <c r="B644" t="e">
        <f>VLOOKUP(A644,'Table Summary'!B:B,1,FALSE)</f>
        <v>#N/A</v>
      </c>
    </row>
    <row r="645" spans="1:2" hidden="1" x14ac:dyDescent="0.3">
      <c r="A645" t="s">
        <v>1074</v>
      </c>
      <c r="B645" t="e">
        <f>VLOOKUP(A645,'Table Summary'!B:B,1,FALSE)</f>
        <v>#N/A</v>
      </c>
    </row>
    <row r="646" spans="1:2" hidden="1" x14ac:dyDescent="0.3">
      <c r="A646" t="s">
        <v>1075</v>
      </c>
      <c r="B646" t="e">
        <f>VLOOKUP(A646,'Table Summary'!B:B,1,FALSE)</f>
        <v>#N/A</v>
      </c>
    </row>
    <row r="647" spans="1:2" hidden="1" x14ac:dyDescent="0.3">
      <c r="A647" t="s">
        <v>1076</v>
      </c>
      <c r="B647" t="e">
        <f>VLOOKUP(A647,'Table Summary'!B:B,1,FALSE)</f>
        <v>#N/A</v>
      </c>
    </row>
    <row r="648" spans="1:2" hidden="1" x14ac:dyDescent="0.3">
      <c r="A648" t="s">
        <v>1077</v>
      </c>
      <c r="B648" t="e">
        <f>VLOOKUP(A648,'Table Summary'!B:B,1,FALSE)</f>
        <v>#N/A</v>
      </c>
    </row>
    <row r="649" spans="1:2" hidden="1" x14ac:dyDescent="0.3">
      <c r="A649" t="s">
        <v>1078</v>
      </c>
      <c r="B649" t="e">
        <f>VLOOKUP(A649,'Table Summary'!B:B,1,FALSE)</f>
        <v>#N/A</v>
      </c>
    </row>
    <row r="650" spans="1:2" hidden="1" x14ac:dyDescent="0.3">
      <c r="A650" t="s">
        <v>1079</v>
      </c>
      <c r="B650" t="e">
        <f>VLOOKUP(A650,'Table Summary'!B:B,1,FALSE)</f>
        <v>#N/A</v>
      </c>
    </row>
    <row r="651" spans="1:2" hidden="1" x14ac:dyDescent="0.3">
      <c r="A651" t="s">
        <v>1080</v>
      </c>
      <c r="B651" t="e">
        <f>VLOOKUP(A651,'Table Summary'!B:B,1,FALSE)</f>
        <v>#N/A</v>
      </c>
    </row>
    <row r="652" spans="1:2" hidden="1" x14ac:dyDescent="0.3">
      <c r="A652" t="s">
        <v>1081</v>
      </c>
      <c r="B652" t="e">
        <f>VLOOKUP(A652,'Table Summary'!B:B,1,FALSE)</f>
        <v>#N/A</v>
      </c>
    </row>
    <row r="653" spans="1:2" hidden="1" x14ac:dyDescent="0.3">
      <c r="A653" t="s">
        <v>1082</v>
      </c>
      <c r="B653" t="e">
        <f>VLOOKUP(A653,'Table Summary'!B:B,1,FALSE)</f>
        <v>#N/A</v>
      </c>
    </row>
    <row r="654" spans="1:2" hidden="1" x14ac:dyDescent="0.3">
      <c r="A654" t="s">
        <v>1083</v>
      </c>
      <c r="B654" t="e">
        <f>VLOOKUP(A654,'Table Summary'!B:B,1,FALSE)</f>
        <v>#N/A</v>
      </c>
    </row>
    <row r="655" spans="1:2" hidden="1" x14ac:dyDescent="0.3">
      <c r="A655" t="s">
        <v>1084</v>
      </c>
      <c r="B655" t="e">
        <f>VLOOKUP(A655,'Table Summary'!B:B,1,FALSE)</f>
        <v>#N/A</v>
      </c>
    </row>
    <row r="656" spans="1:2" hidden="1" x14ac:dyDescent="0.3">
      <c r="A656" t="s">
        <v>1085</v>
      </c>
      <c r="B656" t="e">
        <f>VLOOKUP(A656,'Table Summary'!B:B,1,FALSE)</f>
        <v>#N/A</v>
      </c>
    </row>
    <row r="657" spans="1:2" hidden="1" x14ac:dyDescent="0.3">
      <c r="A657" t="s">
        <v>1086</v>
      </c>
      <c r="B657" t="e">
        <f>VLOOKUP(A657,'Table Summary'!B:B,1,FALSE)</f>
        <v>#N/A</v>
      </c>
    </row>
    <row r="658" spans="1:2" hidden="1" x14ac:dyDescent="0.3">
      <c r="A658" t="s">
        <v>1087</v>
      </c>
      <c r="B658" t="e">
        <f>VLOOKUP(A658,'Table Summary'!B:B,1,FALSE)</f>
        <v>#N/A</v>
      </c>
    </row>
    <row r="659" spans="1:2" hidden="1" x14ac:dyDescent="0.3">
      <c r="A659" t="s">
        <v>1088</v>
      </c>
      <c r="B659" t="e">
        <f>VLOOKUP(A659,'Table Summary'!B:B,1,FALSE)</f>
        <v>#N/A</v>
      </c>
    </row>
    <row r="660" spans="1:2" hidden="1" x14ac:dyDescent="0.3">
      <c r="A660" t="s">
        <v>1089</v>
      </c>
      <c r="B660" t="e">
        <f>VLOOKUP(A660,'Table Summary'!B:B,1,FALSE)</f>
        <v>#N/A</v>
      </c>
    </row>
    <row r="661" spans="1:2" hidden="1" x14ac:dyDescent="0.3">
      <c r="A661" t="s">
        <v>1090</v>
      </c>
      <c r="B661" t="e">
        <f>VLOOKUP(A661,'Table Summary'!B:B,1,FALSE)</f>
        <v>#N/A</v>
      </c>
    </row>
    <row r="662" spans="1:2" hidden="1" x14ac:dyDescent="0.3">
      <c r="A662" t="s">
        <v>1091</v>
      </c>
      <c r="B662" t="e">
        <f>VLOOKUP(A662,'Table Summary'!B:B,1,FALSE)</f>
        <v>#N/A</v>
      </c>
    </row>
    <row r="663" spans="1:2" hidden="1" x14ac:dyDescent="0.3">
      <c r="A663" t="s">
        <v>1092</v>
      </c>
      <c r="B663" t="e">
        <f>VLOOKUP(A663,'Table Summary'!B:B,1,FALSE)</f>
        <v>#N/A</v>
      </c>
    </row>
    <row r="664" spans="1:2" hidden="1" x14ac:dyDescent="0.3">
      <c r="A664" t="s">
        <v>1093</v>
      </c>
      <c r="B664" t="e">
        <f>VLOOKUP(A664,'Table Summary'!B:B,1,FALSE)</f>
        <v>#N/A</v>
      </c>
    </row>
    <row r="665" spans="1:2" hidden="1" x14ac:dyDescent="0.3">
      <c r="A665" t="s">
        <v>1094</v>
      </c>
      <c r="B665" t="e">
        <f>VLOOKUP(A665,'Table Summary'!B:B,1,FALSE)</f>
        <v>#N/A</v>
      </c>
    </row>
    <row r="666" spans="1:2" hidden="1" x14ac:dyDescent="0.3">
      <c r="A666" t="s">
        <v>1095</v>
      </c>
      <c r="B666" t="e">
        <f>VLOOKUP(A666,'Table Summary'!B:B,1,FALSE)</f>
        <v>#N/A</v>
      </c>
    </row>
    <row r="667" spans="1:2" hidden="1" x14ac:dyDescent="0.3">
      <c r="A667" t="s">
        <v>1096</v>
      </c>
      <c r="B667" t="e">
        <f>VLOOKUP(A667,'Table Summary'!B:B,1,FALSE)</f>
        <v>#N/A</v>
      </c>
    </row>
    <row r="668" spans="1:2" hidden="1" x14ac:dyDescent="0.3">
      <c r="A668" t="s">
        <v>1097</v>
      </c>
      <c r="B668" t="e">
        <f>VLOOKUP(A668,'Table Summary'!B:B,1,FALSE)</f>
        <v>#N/A</v>
      </c>
    </row>
    <row r="669" spans="1:2" hidden="1" x14ac:dyDescent="0.3">
      <c r="A669" t="s">
        <v>1098</v>
      </c>
      <c r="B669" t="e">
        <f>VLOOKUP(A669,'Table Summary'!B:B,1,FALSE)</f>
        <v>#N/A</v>
      </c>
    </row>
    <row r="670" spans="1:2" hidden="1" x14ac:dyDescent="0.3">
      <c r="A670" t="s">
        <v>1099</v>
      </c>
      <c r="B670" t="e">
        <f>VLOOKUP(A670,'Table Summary'!B:B,1,FALSE)</f>
        <v>#N/A</v>
      </c>
    </row>
    <row r="671" spans="1:2" hidden="1" x14ac:dyDescent="0.3">
      <c r="A671" t="s">
        <v>1100</v>
      </c>
      <c r="B671" t="e">
        <f>VLOOKUP(A671,'Table Summary'!B:B,1,FALSE)</f>
        <v>#N/A</v>
      </c>
    </row>
    <row r="672" spans="1:2" hidden="1" x14ac:dyDescent="0.3">
      <c r="A672" t="s">
        <v>1101</v>
      </c>
      <c r="B672" t="e">
        <f>VLOOKUP(A672,'Table Summary'!B:B,1,FALSE)</f>
        <v>#N/A</v>
      </c>
    </row>
    <row r="673" spans="1:2" hidden="1" x14ac:dyDescent="0.3">
      <c r="A673" t="s">
        <v>1102</v>
      </c>
      <c r="B673" t="e">
        <f>VLOOKUP(A673,'Table Summary'!B:B,1,FALSE)</f>
        <v>#N/A</v>
      </c>
    </row>
    <row r="674" spans="1:2" hidden="1" x14ac:dyDescent="0.3">
      <c r="A674" t="s">
        <v>1103</v>
      </c>
      <c r="B674" t="e">
        <f>VLOOKUP(A674,'Table Summary'!B:B,1,FALSE)</f>
        <v>#N/A</v>
      </c>
    </row>
    <row r="675" spans="1:2" hidden="1" x14ac:dyDescent="0.3">
      <c r="A675" t="s">
        <v>1104</v>
      </c>
      <c r="B675" t="e">
        <f>VLOOKUP(A675,'Table Summary'!B:B,1,FALSE)</f>
        <v>#N/A</v>
      </c>
    </row>
    <row r="676" spans="1:2" hidden="1" x14ac:dyDescent="0.3">
      <c r="A676" t="s">
        <v>1105</v>
      </c>
      <c r="B676" t="e">
        <f>VLOOKUP(A676,'Table Summary'!B:B,1,FALSE)</f>
        <v>#N/A</v>
      </c>
    </row>
    <row r="677" spans="1:2" hidden="1" x14ac:dyDescent="0.3">
      <c r="A677" t="s">
        <v>1106</v>
      </c>
      <c r="B677" t="e">
        <f>VLOOKUP(A677,'Table Summary'!B:B,1,FALSE)</f>
        <v>#N/A</v>
      </c>
    </row>
    <row r="678" spans="1:2" hidden="1" x14ac:dyDescent="0.3">
      <c r="A678" t="s">
        <v>1107</v>
      </c>
      <c r="B678" t="e">
        <f>VLOOKUP(A678,'Table Summary'!B:B,1,FALSE)</f>
        <v>#N/A</v>
      </c>
    </row>
    <row r="679" spans="1:2" hidden="1" x14ac:dyDescent="0.3">
      <c r="A679" t="s">
        <v>1108</v>
      </c>
      <c r="B679" t="e">
        <f>VLOOKUP(A679,'Table Summary'!B:B,1,FALSE)</f>
        <v>#N/A</v>
      </c>
    </row>
    <row r="680" spans="1:2" hidden="1" x14ac:dyDescent="0.3">
      <c r="A680" t="s">
        <v>1109</v>
      </c>
      <c r="B680" t="e">
        <f>VLOOKUP(A680,'Table Summary'!B:B,1,FALSE)</f>
        <v>#N/A</v>
      </c>
    </row>
    <row r="681" spans="1:2" hidden="1" x14ac:dyDescent="0.3">
      <c r="A681" t="s">
        <v>1110</v>
      </c>
      <c r="B681" t="e">
        <f>VLOOKUP(A681,'Table Summary'!B:B,1,FALSE)</f>
        <v>#N/A</v>
      </c>
    </row>
    <row r="682" spans="1:2" hidden="1" x14ac:dyDescent="0.3">
      <c r="A682" t="s">
        <v>1111</v>
      </c>
      <c r="B682" t="e">
        <f>VLOOKUP(A682,'Table Summary'!B:B,1,FALSE)</f>
        <v>#N/A</v>
      </c>
    </row>
    <row r="683" spans="1:2" hidden="1" x14ac:dyDescent="0.3">
      <c r="A683" t="s">
        <v>1112</v>
      </c>
      <c r="B683" t="e">
        <f>VLOOKUP(A683,'Table Summary'!B:B,1,FALSE)</f>
        <v>#N/A</v>
      </c>
    </row>
    <row r="684" spans="1:2" hidden="1" x14ac:dyDescent="0.3">
      <c r="A684" t="s">
        <v>1113</v>
      </c>
      <c r="B684" t="e">
        <f>VLOOKUP(A684,'Table Summary'!B:B,1,FALSE)</f>
        <v>#N/A</v>
      </c>
    </row>
    <row r="685" spans="1:2" hidden="1" x14ac:dyDescent="0.3">
      <c r="A685" t="s">
        <v>1114</v>
      </c>
      <c r="B685" t="e">
        <f>VLOOKUP(A685,'Table Summary'!B:B,1,FALSE)</f>
        <v>#N/A</v>
      </c>
    </row>
    <row r="686" spans="1:2" hidden="1" x14ac:dyDescent="0.3">
      <c r="A686" t="s">
        <v>1115</v>
      </c>
      <c r="B686" t="e">
        <f>VLOOKUP(A686,'Table Summary'!B:B,1,FALSE)</f>
        <v>#N/A</v>
      </c>
    </row>
    <row r="687" spans="1:2" hidden="1" x14ac:dyDescent="0.3">
      <c r="A687" t="s">
        <v>1116</v>
      </c>
      <c r="B687" t="e">
        <f>VLOOKUP(A687,'Table Summary'!B:B,1,FALSE)</f>
        <v>#N/A</v>
      </c>
    </row>
    <row r="688" spans="1:2" hidden="1" x14ac:dyDescent="0.3">
      <c r="A688" t="s">
        <v>1117</v>
      </c>
      <c r="B688" t="e">
        <f>VLOOKUP(A688,'Table Summary'!B:B,1,FALSE)</f>
        <v>#N/A</v>
      </c>
    </row>
    <row r="689" spans="1:2" hidden="1" x14ac:dyDescent="0.3">
      <c r="A689" t="s">
        <v>1118</v>
      </c>
      <c r="B689" t="e">
        <f>VLOOKUP(A689,'Table Summary'!B:B,1,FALSE)</f>
        <v>#N/A</v>
      </c>
    </row>
    <row r="690" spans="1:2" hidden="1" x14ac:dyDescent="0.3">
      <c r="A690" t="s">
        <v>1119</v>
      </c>
      <c r="B690" t="e">
        <f>VLOOKUP(A690,'Table Summary'!B:B,1,FALSE)</f>
        <v>#N/A</v>
      </c>
    </row>
    <row r="691" spans="1:2" hidden="1" x14ac:dyDescent="0.3">
      <c r="A691" t="s">
        <v>1120</v>
      </c>
      <c r="B691" t="e">
        <f>VLOOKUP(A691,'Table Summary'!B:B,1,FALSE)</f>
        <v>#N/A</v>
      </c>
    </row>
    <row r="692" spans="1:2" hidden="1" x14ac:dyDescent="0.3">
      <c r="A692" t="s">
        <v>1121</v>
      </c>
      <c r="B692" t="e">
        <f>VLOOKUP(A692,'Table Summary'!B:B,1,FALSE)</f>
        <v>#N/A</v>
      </c>
    </row>
    <row r="693" spans="1:2" hidden="1" x14ac:dyDescent="0.3">
      <c r="A693" t="s">
        <v>1122</v>
      </c>
      <c r="B693" t="e">
        <f>VLOOKUP(A693,'Table Summary'!B:B,1,FALSE)</f>
        <v>#N/A</v>
      </c>
    </row>
    <row r="694" spans="1:2" hidden="1" x14ac:dyDescent="0.3">
      <c r="A694" t="s">
        <v>1123</v>
      </c>
      <c r="B694" t="e">
        <f>VLOOKUP(A694,'Table Summary'!B:B,1,FALSE)</f>
        <v>#N/A</v>
      </c>
    </row>
    <row r="695" spans="1:2" hidden="1" x14ac:dyDescent="0.3">
      <c r="A695" t="s">
        <v>1124</v>
      </c>
      <c r="B695" t="e">
        <f>VLOOKUP(A695,'Table Summary'!B:B,1,FALSE)</f>
        <v>#N/A</v>
      </c>
    </row>
    <row r="696" spans="1:2" hidden="1" x14ac:dyDescent="0.3">
      <c r="A696" t="s">
        <v>1125</v>
      </c>
      <c r="B696" t="e">
        <f>VLOOKUP(A696,'Table Summary'!B:B,1,FALSE)</f>
        <v>#N/A</v>
      </c>
    </row>
    <row r="697" spans="1:2" hidden="1" x14ac:dyDescent="0.3">
      <c r="A697" t="s">
        <v>1126</v>
      </c>
      <c r="B697" t="e">
        <f>VLOOKUP(A697,'Table Summary'!B:B,1,FALSE)</f>
        <v>#N/A</v>
      </c>
    </row>
    <row r="698" spans="1:2" hidden="1" x14ac:dyDescent="0.3">
      <c r="A698" t="s">
        <v>1127</v>
      </c>
      <c r="B698" t="e">
        <f>VLOOKUP(A698,'Table Summary'!B:B,1,FALSE)</f>
        <v>#N/A</v>
      </c>
    </row>
    <row r="699" spans="1:2" hidden="1" x14ac:dyDescent="0.3">
      <c r="A699" t="s">
        <v>1128</v>
      </c>
      <c r="B699" t="e">
        <f>VLOOKUP(A699,'Table Summary'!B:B,1,FALSE)</f>
        <v>#N/A</v>
      </c>
    </row>
    <row r="700" spans="1:2" hidden="1" x14ac:dyDescent="0.3">
      <c r="A700" t="s">
        <v>1129</v>
      </c>
      <c r="B700" t="e">
        <f>VLOOKUP(A700,'Table Summary'!B:B,1,FALSE)</f>
        <v>#N/A</v>
      </c>
    </row>
    <row r="701" spans="1:2" hidden="1" x14ac:dyDescent="0.3">
      <c r="A701" t="s">
        <v>1130</v>
      </c>
      <c r="B701" t="e">
        <f>VLOOKUP(A701,'Table Summary'!B:B,1,FALSE)</f>
        <v>#N/A</v>
      </c>
    </row>
    <row r="702" spans="1:2" hidden="1" x14ac:dyDescent="0.3">
      <c r="A702" t="s">
        <v>1131</v>
      </c>
      <c r="B702" t="e">
        <f>VLOOKUP(A702,'Table Summary'!B:B,1,FALSE)</f>
        <v>#N/A</v>
      </c>
    </row>
    <row r="703" spans="1:2" hidden="1" x14ac:dyDescent="0.3">
      <c r="A703" t="s">
        <v>1132</v>
      </c>
      <c r="B703" t="e">
        <f>VLOOKUP(A703,'Table Summary'!B:B,1,FALSE)</f>
        <v>#N/A</v>
      </c>
    </row>
    <row r="704" spans="1:2" hidden="1" x14ac:dyDescent="0.3">
      <c r="A704" t="s">
        <v>1133</v>
      </c>
      <c r="B704" t="e">
        <f>VLOOKUP(A704,'Table Summary'!B:B,1,FALSE)</f>
        <v>#N/A</v>
      </c>
    </row>
    <row r="705" spans="1:2" hidden="1" x14ac:dyDescent="0.3">
      <c r="A705" t="s">
        <v>1134</v>
      </c>
      <c r="B705" t="e">
        <f>VLOOKUP(A705,'Table Summary'!B:B,1,FALSE)</f>
        <v>#N/A</v>
      </c>
    </row>
    <row r="706" spans="1:2" hidden="1" x14ac:dyDescent="0.3">
      <c r="A706" t="s">
        <v>1135</v>
      </c>
      <c r="B706" t="e">
        <f>VLOOKUP(A706,'Table Summary'!B:B,1,FALSE)</f>
        <v>#N/A</v>
      </c>
    </row>
    <row r="707" spans="1:2" hidden="1" x14ac:dyDescent="0.3">
      <c r="A707" t="s">
        <v>1136</v>
      </c>
      <c r="B707" t="e">
        <f>VLOOKUP(A707,'Table Summary'!B:B,1,FALSE)</f>
        <v>#N/A</v>
      </c>
    </row>
    <row r="708" spans="1:2" hidden="1" x14ac:dyDescent="0.3">
      <c r="A708" t="s">
        <v>1137</v>
      </c>
      <c r="B708" t="e">
        <f>VLOOKUP(A708,'Table Summary'!B:B,1,FALSE)</f>
        <v>#N/A</v>
      </c>
    </row>
    <row r="709" spans="1:2" hidden="1" x14ac:dyDescent="0.3">
      <c r="A709" t="s">
        <v>1138</v>
      </c>
      <c r="B709" t="e">
        <f>VLOOKUP(A709,'Table Summary'!B:B,1,FALSE)</f>
        <v>#N/A</v>
      </c>
    </row>
    <row r="710" spans="1:2" hidden="1" x14ac:dyDescent="0.3">
      <c r="A710" t="s">
        <v>1139</v>
      </c>
      <c r="B710" t="e">
        <f>VLOOKUP(A710,'Table Summary'!B:B,1,FALSE)</f>
        <v>#N/A</v>
      </c>
    </row>
    <row r="711" spans="1:2" hidden="1" x14ac:dyDescent="0.3">
      <c r="A711" t="s">
        <v>1140</v>
      </c>
      <c r="B711" t="e">
        <f>VLOOKUP(A711,'Table Summary'!B:B,1,FALSE)</f>
        <v>#N/A</v>
      </c>
    </row>
    <row r="712" spans="1:2" hidden="1" x14ac:dyDescent="0.3">
      <c r="A712" t="s">
        <v>1141</v>
      </c>
      <c r="B712" t="e">
        <f>VLOOKUP(A712,'Table Summary'!B:B,1,FALSE)</f>
        <v>#N/A</v>
      </c>
    </row>
    <row r="713" spans="1:2" hidden="1" x14ac:dyDescent="0.3">
      <c r="A713" t="s">
        <v>1142</v>
      </c>
      <c r="B713" t="e">
        <f>VLOOKUP(A713,'Table Summary'!B:B,1,FALSE)</f>
        <v>#N/A</v>
      </c>
    </row>
    <row r="714" spans="1:2" hidden="1" x14ac:dyDescent="0.3">
      <c r="A714" t="s">
        <v>1143</v>
      </c>
      <c r="B714" t="e">
        <f>VLOOKUP(A714,'Table Summary'!B:B,1,FALSE)</f>
        <v>#N/A</v>
      </c>
    </row>
    <row r="715" spans="1:2" hidden="1" x14ac:dyDescent="0.3">
      <c r="A715" t="s">
        <v>1144</v>
      </c>
      <c r="B715" t="e">
        <f>VLOOKUP(A715,'Table Summary'!B:B,1,FALSE)</f>
        <v>#N/A</v>
      </c>
    </row>
    <row r="716" spans="1:2" hidden="1" x14ac:dyDescent="0.3">
      <c r="A716" t="s">
        <v>1145</v>
      </c>
      <c r="B716" t="e">
        <f>VLOOKUP(A716,'Table Summary'!B:B,1,FALSE)</f>
        <v>#N/A</v>
      </c>
    </row>
    <row r="717" spans="1:2" hidden="1" x14ac:dyDescent="0.3">
      <c r="A717" t="s">
        <v>1146</v>
      </c>
      <c r="B717" t="e">
        <f>VLOOKUP(A717,'Table Summary'!B:B,1,FALSE)</f>
        <v>#N/A</v>
      </c>
    </row>
    <row r="718" spans="1:2" hidden="1" x14ac:dyDescent="0.3">
      <c r="A718" t="s">
        <v>1147</v>
      </c>
      <c r="B718" t="e">
        <f>VLOOKUP(A718,'Table Summary'!B:B,1,FALSE)</f>
        <v>#N/A</v>
      </c>
    </row>
    <row r="719" spans="1:2" hidden="1" x14ac:dyDescent="0.3">
      <c r="A719" t="s">
        <v>1148</v>
      </c>
      <c r="B719" t="e">
        <f>VLOOKUP(A719,'Table Summary'!B:B,1,FALSE)</f>
        <v>#N/A</v>
      </c>
    </row>
    <row r="720" spans="1:2" hidden="1" x14ac:dyDescent="0.3">
      <c r="A720" t="s">
        <v>1149</v>
      </c>
      <c r="B720" t="e">
        <f>VLOOKUP(A720,'Table Summary'!B:B,1,FALSE)</f>
        <v>#N/A</v>
      </c>
    </row>
    <row r="721" spans="1:2" hidden="1" x14ac:dyDescent="0.3">
      <c r="A721" t="s">
        <v>1150</v>
      </c>
      <c r="B721" t="e">
        <f>VLOOKUP(A721,'Table Summary'!B:B,1,FALSE)</f>
        <v>#N/A</v>
      </c>
    </row>
    <row r="722" spans="1:2" hidden="1" x14ac:dyDescent="0.3">
      <c r="A722" t="s">
        <v>1151</v>
      </c>
      <c r="B722" t="e">
        <f>VLOOKUP(A722,'Table Summary'!B:B,1,FALSE)</f>
        <v>#N/A</v>
      </c>
    </row>
    <row r="723" spans="1:2" hidden="1" x14ac:dyDescent="0.3">
      <c r="A723" t="s">
        <v>1152</v>
      </c>
      <c r="B723" t="e">
        <f>VLOOKUP(A723,'Table Summary'!B:B,1,FALSE)</f>
        <v>#N/A</v>
      </c>
    </row>
    <row r="724" spans="1:2" hidden="1" x14ac:dyDescent="0.3">
      <c r="A724" t="s">
        <v>1153</v>
      </c>
      <c r="B724" t="e">
        <f>VLOOKUP(A724,'Table Summary'!B:B,1,FALSE)</f>
        <v>#N/A</v>
      </c>
    </row>
    <row r="725" spans="1:2" hidden="1" x14ac:dyDescent="0.3">
      <c r="A725" t="s">
        <v>1154</v>
      </c>
      <c r="B725" t="e">
        <f>VLOOKUP(A725,'Table Summary'!B:B,1,FALSE)</f>
        <v>#N/A</v>
      </c>
    </row>
    <row r="726" spans="1:2" hidden="1" x14ac:dyDescent="0.3">
      <c r="A726" t="s">
        <v>1155</v>
      </c>
      <c r="B726" t="e">
        <f>VLOOKUP(A726,'Table Summary'!B:B,1,FALSE)</f>
        <v>#N/A</v>
      </c>
    </row>
    <row r="727" spans="1:2" hidden="1" x14ac:dyDescent="0.3">
      <c r="A727" t="s">
        <v>1156</v>
      </c>
      <c r="B727" t="e">
        <f>VLOOKUP(A727,'Table Summary'!B:B,1,FALSE)</f>
        <v>#N/A</v>
      </c>
    </row>
    <row r="728" spans="1:2" hidden="1" x14ac:dyDescent="0.3">
      <c r="A728" t="s">
        <v>1157</v>
      </c>
      <c r="B728" t="e">
        <f>VLOOKUP(A728,'Table Summary'!B:B,1,FALSE)</f>
        <v>#N/A</v>
      </c>
    </row>
    <row r="729" spans="1:2" hidden="1" x14ac:dyDescent="0.3">
      <c r="A729" t="s">
        <v>1158</v>
      </c>
      <c r="B729" t="e">
        <f>VLOOKUP(A729,'Table Summary'!B:B,1,FALSE)</f>
        <v>#N/A</v>
      </c>
    </row>
    <row r="730" spans="1:2" hidden="1" x14ac:dyDescent="0.3">
      <c r="A730" t="s">
        <v>1159</v>
      </c>
      <c r="B730" t="e">
        <f>VLOOKUP(A730,'Table Summary'!B:B,1,FALSE)</f>
        <v>#N/A</v>
      </c>
    </row>
    <row r="731" spans="1:2" hidden="1" x14ac:dyDescent="0.3">
      <c r="A731" t="s">
        <v>1160</v>
      </c>
      <c r="B731" t="e">
        <f>VLOOKUP(A731,'Table Summary'!B:B,1,FALSE)</f>
        <v>#N/A</v>
      </c>
    </row>
    <row r="732" spans="1:2" hidden="1" x14ac:dyDescent="0.3">
      <c r="A732" t="s">
        <v>1161</v>
      </c>
      <c r="B732" t="e">
        <f>VLOOKUP(A732,'Table Summary'!B:B,1,FALSE)</f>
        <v>#N/A</v>
      </c>
    </row>
    <row r="733" spans="1:2" hidden="1" x14ac:dyDescent="0.3">
      <c r="A733" t="s">
        <v>1162</v>
      </c>
      <c r="B733" t="e">
        <f>VLOOKUP(A733,'Table Summary'!B:B,1,FALSE)</f>
        <v>#N/A</v>
      </c>
    </row>
    <row r="734" spans="1:2" hidden="1" x14ac:dyDescent="0.3">
      <c r="A734" t="s">
        <v>1163</v>
      </c>
      <c r="B734" t="e">
        <f>VLOOKUP(A734,'Table Summary'!B:B,1,FALSE)</f>
        <v>#N/A</v>
      </c>
    </row>
    <row r="735" spans="1:2" hidden="1" x14ac:dyDescent="0.3">
      <c r="A735" t="s">
        <v>1164</v>
      </c>
      <c r="B735" t="e">
        <f>VLOOKUP(A735,'Table Summary'!B:B,1,FALSE)</f>
        <v>#N/A</v>
      </c>
    </row>
    <row r="736" spans="1:2" hidden="1" x14ac:dyDescent="0.3">
      <c r="A736" t="s">
        <v>1165</v>
      </c>
      <c r="B736" t="e">
        <f>VLOOKUP(A736,'Table Summary'!B:B,1,FALSE)</f>
        <v>#N/A</v>
      </c>
    </row>
    <row r="737" spans="1:2" hidden="1" x14ac:dyDescent="0.3">
      <c r="A737" t="s">
        <v>1166</v>
      </c>
      <c r="B737" t="e">
        <f>VLOOKUP(A737,'Table Summary'!B:B,1,FALSE)</f>
        <v>#N/A</v>
      </c>
    </row>
    <row r="738" spans="1:2" hidden="1" x14ac:dyDescent="0.3">
      <c r="A738" t="s">
        <v>1167</v>
      </c>
      <c r="B738" t="e">
        <f>VLOOKUP(A738,'Table Summary'!B:B,1,FALSE)</f>
        <v>#N/A</v>
      </c>
    </row>
    <row r="739" spans="1:2" hidden="1" x14ac:dyDescent="0.3">
      <c r="A739" t="s">
        <v>1168</v>
      </c>
      <c r="B739" t="e">
        <f>VLOOKUP(A739,'Table Summary'!B:B,1,FALSE)</f>
        <v>#N/A</v>
      </c>
    </row>
    <row r="740" spans="1:2" hidden="1" x14ac:dyDescent="0.3">
      <c r="A740" t="s">
        <v>1169</v>
      </c>
      <c r="B740" t="e">
        <f>VLOOKUP(A740,'Table Summary'!B:B,1,FALSE)</f>
        <v>#N/A</v>
      </c>
    </row>
    <row r="741" spans="1:2" hidden="1" x14ac:dyDescent="0.3">
      <c r="A741" t="s">
        <v>1170</v>
      </c>
      <c r="B741" t="e">
        <f>VLOOKUP(A741,'Table Summary'!B:B,1,FALSE)</f>
        <v>#N/A</v>
      </c>
    </row>
    <row r="742" spans="1:2" hidden="1" x14ac:dyDescent="0.3">
      <c r="A742" t="s">
        <v>1171</v>
      </c>
      <c r="B742" t="e">
        <f>VLOOKUP(A742,'Table Summary'!B:B,1,FALSE)</f>
        <v>#N/A</v>
      </c>
    </row>
    <row r="743" spans="1:2" hidden="1" x14ac:dyDescent="0.3">
      <c r="A743" t="s">
        <v>1172</v>
      </c>
      <c r="B743" t="e">
        <f>VLOOKUP(A743,'Table Summary'!B:B,1,FALSE)</f>
        <v>#N/A</v>
      </c>
    </row>
    <row r="744" spans="1:2" hidden="1" x14ac:dyDescent="0.3">
      <c r="A744" t="s">
        <v>1173</v>
      </c>
      <c r="B744" t="e">
        <f>VLOOKUP(A744,'Table Summary'!B:B,1,FALSE)</f>
        <v>#N/A</v>
      </c>
    </row>
    <row r="745" spans="1:2" hidden="1" x14ac:dyDescent="0.3">
      <c r="A745" t="s">
        <v>1174</v>
      </c>
      <c r="B745" t="e">
        <f>VLOOKUP(A745,'Table Summary'!B:B,1,FALSE)</f>
        <v>#N/A</v>
      </c>
    </row>
    <row r="746" spans="1:2" hidden="1" x14ac:dyDescent="0.3">
      <c r="A746" t="s">
        <v>1175</v>
      </c>
      <c r="B746" t="e">
        <f>VLOOKUP(A746,'Table Summary'!B:B,1,FALSE)</f>
        <v>#N/A</v>
      </c>
    </row>
    <row r="747" spans="1:2" hidden="1" x14ac:dyDescent="0.3">
      <c r="A747" t="s">
        <v>1176</v>
      </c>
      <c r="B747" t="e">
        <f>VLOOKUP(A747,'Table Summary'!B:B,1,FALSE)</f>
        <v>#N/A</v>
      </c>
    </row>
    <row r="748" spans="1:2" hidden="1" x14ac:dyDescent="0.3">
      <c r="A748" t="s">
        <v>1177</v>
      </c>
      <c r="B748" t="e">
        <f>VLOOKUP(A748,'Table Summary'!B:B,1,FALSE)</f>
        <v>#N/A</v>
      </c>
    </row>
    <row r="749" spans="1:2" hidden="1" x14ac:dyDescent="0.3">
      <c r="A749" t="s">
        <v>1178</v>
      </c>
      <c r="B749" t="e">
        <f>VLOOKUP(A749,'Table Summary'!B:B,1,FALSE)</f>
        <v>#N/A</v>
      </c>
    </row>
    <row r="750" spans="1:2" hidden="1" x14ac:dyDescent="0.3">
      <c r="A750" t="s">
        <v>1179</v>
      </c>
      <c r="B750" t="e">
        <f>VLOOKUP(A750,'Table Summary'!B:B,1,FALSE)</f>
        <v>#N/A</v>
      </c>
    </row>
    <row r="751" spans="1:2" hidden="1" x14ac:dyDescent="0.3">
      <c r="A751" t="s">
        <v>1180</v>
      </c>
      <c r="B751" t="e">
        <f>VLOOKUP(A751,'Table Summary'!B:B,1,FALSE)</f>
        <v>#N/A</v>
      </c>
    </row>
    <row r="752" spans="1:2" hidden="1" x14ac:dyDescent="0.3">
      <c r="A752" t="s">
        <v>1181</v>
      </c>
      <c r="B752" t="e">
        <f>VLOOKUP(A752,'Table Summary'!B:B,1,FALSE)</f>
        <v>#N/A</v>
      </c>
    </row>
    <row r="753" spans="1:2" hidden="1" x14ac:dyDescent="0.3">
      <c r="A753" t="s">
        <v>1182</v>
      </c>
      <c r="B753" t="e">
        <f>VLOOKUP(A753,'Table Summary'!B:B,1,FALSE)</f>
        <v>#N/A</v>
      </c>
    </row>
    <row r="754" spans="1:2" hidden="1" x14ac:dyDescent="0.3">
      <c r="A754" t="s">
        <v>1183</v>
      </c>
      <c r="B754" t="e">
        <f>VLOOKUP(A754,'Table Summary'!B:B,1,FALSE)</f>
        <v>#N/A</v>
      </c>
    </row>
    <row r="755" spans="1:2" hidden="1" x14ac:dyDescent="0.3">
      <c r="A755" t="s">
        <v>1184</v>
      </c>
      <c r="B755" t="e">
        <f>VLOOKUP(A755,'Table Summary'!B:B,1,FALSE)</f>
        <v>#N/A</v>
      </c>
    </row>
    <row r="756" spans="1:2" hidden="1" x14ac:dyDescent="0.3">
      <c r="A756" t="s">
        <v>1185</v>
      </c>
      <c r="B756" t="e">
        <f>VLOOKUP(A756,'Table Summary'!B:B,1,FALSE)</f>
        <v>#N/A</v>
      </c>
    </row>
    <row r="757" spans="1:2" hidden="1" x14ac:dyDescent="0.3">
      <c r="A757" t="s">
        <v>1186</v>
      </c>
      <c r="B757" t="e">
        <f>VLOOKUP(A757,'Table Summary'!B:B,1,FALSE)</f>
        <v>#N/A</v>
      </c>
    </row>
    <row r="758" spans="1:2" hidden="1" x14ac:dyDescent="0.3">
      <c r="A758" t="s">
        <v>1187</v>
      </c>
      <c r="B758" t="e">
        <f>VLOOKUP(A758,'Table Summary'!B:B,1,FALSE)</f>
        <v>#N/A</v>
      </c>
    </row>
    <row r="759" spans="1:2" hidden="1" x14ac:dyDescent="0.3">
      <c r="A759" t="s">
        <v>1188</v>
      </c>
      <c r="B759" t="e">
        <f>VLOOKUP(A759,'Table Summary'!B:B,1,FALSE)</f>
        <v>#N/A</v>
      </c>
    </row>
    <row r="760" spans="1:2" hidden="1" x14ac:dyDescent="0.3">
      <c r="A760" t="s">
        <v>1189</v>
      </c>
      <c r="B760" t="e">
        <f>VLOOKUP(A760,'Table Summary'!B:B,1,FALSE)</f>
        <v>#N/A</v>
      </c>
    </row>
    <row r="761" spans="1:2" hidden="1" x14ac:dyDescent="0.3">
      <c r="A761" t="s">
        <v>1190</v>
      </c>
      <c r="B761" t="e">
        <f>VLOOKUP(A761,'Table Summary'!B:B,1,FALSE)</f>
        <v>#N/A</v>
      </c>
    </row>
    <row r="762" spans="1:2" hidden="1" x14ac:dyDescent="0.3">
      <c r="A762" t="s">
        <v>1191</v>
      </c>
      <c r="B762" t="e">
        <f>VLOOKUP(A762,'Table Summary'!B:B,1,FALSE)</f>
        <v>#N/A</v>
      </c>
    </row>
    <row r="763" spans="1:2" hidden="1" x14ac:dyDescent="0.3">
      <c r="A763" t="s">
        <v>1192</v>
      </c>
      <c r="B763" t="e">
        <f>VLOOKUP(A763,'Table Summary'!B:B,1,FALSE)</f>
        <v>#N/A</v>
      </c>
    </row>
    <row r="764" spans="1:2" hidden="1" x14ac:dyDescent="0.3">
      <c r="A764" t="s">
        <v>1193</v>
      </c>
      <c r="B764" t="e">
        <f>VLOOKUP(A764,'Table Summary'!B:B,1,FALSE)</f>
        <v>#N/A</v>
      </c>
    </row>
    <row r="765" spans="1:2" hidden="1" x14ac:dyDescent="0.3">
      <c r="A765" t="s">
        <v>1194</v>
      </c>
      <c r="B765" t="e">
        <f>VLOOKUP(A765,'Table Summary'!B:B,1,FALSE)</f>
        <v>#N/A</v>
      </c>
    </row>
    <row r="766" spans="1:2" hidden="1" x14ac:dyDescent="0.3">
      <c r="A766" t="s">
        <v>1195</v>
      </c>
      <c r="B766" t="e">
        <f>VLOOKUP(A766,'Table Summary'!B:B,1,FALSE)</f>
        <v>#N/A</v>
      </c>
    </row>
    <row r="767" spans="1:2" hidden="1" x14ac:dyDescent="0.3">
      <c r="A767" t="s">
        <v>1196</v>
      </c>
      <c r="B767" t="e">
        <f>VLOOKUP(A767,'Table Summary'!B:B,1,FALSE)</f>
        <v>#N/A</v>
      </c>
    </row>
    <row r="768" spans="1:2" hidden="1" x14ac:dyDescent="0.3">
      <c r="A768" t="s">
        <v>1197</v>
      </c>
      <c r="B768" t="e">
        <f>VLOOKUP(A768,'Table Summary'!B:B,1,FALSE)</f>
        <v>#N/A</v>
      </c>
    </row>
    <row r="769" spans="1:2" hidden="1" x14ac:dyDescent="0.3">
      <c r="A769" t="s">
        <v>1198</v>
      </c>
      <c r="B769" t="e">
        <f>VLOOKUP(A769,'Table Summary'!B:B,1,FALSE)</f>
        <v>#N/A</v>
      </c>
    </row>
    <row r="770" spans="1:2" hidden="1" x14ac:dyDescent="0.3">
      <c r="A770" t="s">
        <v>1199</v>
      </c>
      <c r="B770" t="e">
        <f>VLOOKUP(A770,'Table Summary'!B:B,1,FALSE)</f>
        <v>#N/A</v>
      </c>
    </row>
    <row r="771" spans="1:2" hidden="1" x14ac:dyDescent="0.3">
      <c r="A771" t="s">
        <v>1200</v>
      </c>
      <c r="B771" t="e">
        <f>VLOOKUP(A771,'Table Summary'!B:B,1,FALSE)</f>
        <v>#N/A</v>
      </c>
    </row>
    <row r="772" spans="1:2" hidden="1" x14ac:dyDescent="0.3">
      <c r="A772" t="s">
        <v>1201</v>
      </c>
      <c r="B772" t="e">
        <f>VLOOKUP(A772,'Table Summary'!B:B,1,FALSE)</f>
        <v>#N/A</v>
      </c>
    </row>
    <row r="773" spans="1:2" hidden="1" x14ac:dyDescent="0.3">
      <c r="A773" t="s">
        <v>1202</v>
      </c>
      <c r="B773" t="e">
        <f>VLOOKUP(A773,'Table Summary'!B:B,1,FALSE)</f>
        <v>#N/A</v>
      </c>
    </row>
    <row r="774" spans="1:2" hidden="1" x14ac:dyDescent="0.3">
      <c r="A774" t="s">
        <v>1203</v>
      </c>
      <c r="B774" t="e">
        <f>VLOOKUP(A774,'Table Summary'!B:B,1,FALSE)</f>
        <v>#N/A</v>
      </c>
    </row>
    <row r="775" spans="1:2" hidden="1" x14ac:dyDescent="0.3">
      <c r="A775" t="s">
        <v>1204</v>
      </c>
      <c r="B775" t="e">
        <f>VLOOKUP(A775,'Table Summary'!B:B,1,FALSE)</f>
        <v>#N/A</v>
      </c>
    </row>
    <row r="776" spans="1:2" hidden="1" x14ac:dyDescent="0.3">
      <c r="A776" t="s">
        <v>1205</v>
      </c>
      <c r="B776" t="e">
        <f>VLOOKUP(A776,'Table Summary'!B:B,1,FALSE)</f>
        <v>#N/A</v>
      </c>
    </row>
    <row r="777" spans="1:2" hidden="1" x14ac:dyDescent="0.3">
      <c r="A777" t="s">
        <v>1206</v>
      </c>
      <c r="B777" t="e">
        <f>VLOOKUP(A777,'Table Summary'!B:B,1,FALSE)</f>
        <v>#N/A</v>
      </c>
    </row>
    <row r="778" spans="1:2" hidden="1" x14ac:dyDescent="0.3">
      <c r="A778" t="s">
        <v>1207</v>
      </c>
      <c r="B778" t="e">
        <f>VLOOKUP(A778,'Table Summary'!B:B,1,FALSE)</f>
        <v>#N/A</v>
      </c>
    </row>
    <row r="779" spans="1:2" hidden="1" x14ac:dyDescent="0.3">
      <c r="A779" t="s">
        <v>1208</v>
      </c>
      <c r="B779" t="e">
        <f>VLOOKUP(A779,'Table Summary'!B:B,1,FALSE)</f>
        <v>#N/A</v>
      </c>
    </row>
    <row r="780" spans="1:2" hidden="1" x14ac:dyDescent="0.3">
      <c r="A780" t="s">
        <v>1209</v>
      </c>
      <c r="B780" t="e">
        <f>VLOOKUP(A780,'Table Summary'!B:B,1,FALSE)</f>
        <v>#N/A</v>
      </c>
    </row>
    <row r="781" spans="1:2" hidden="1" x14ac:dyDescent="0.3">
      <c r="A781" t="s">
        <v>1210</v>
      </c>
      <c r="B781" t="e">
        <f>VLOOKUP(A781,'Table Summary'!B:B,1,FALSE)</f>
        <v>#N/A</v>
      </c>
    </row>
    <row r="782" spans="1:2" hidden="1" x14ac:dyDescent="0.3">
      <c r="A782" t="s">
        <v>1211</v>
      </c>
      <c r="B782" t="e">
        <f>VLOOKUP(A782,'Table Summary'!B:B,1,FALSE)</f>
        <v>#N/A</v>
      </c>
    </row>
    <row r="783" spans="1:2" hidden="1" x14ac:dyDescent="0.3">
      <c r="A783" t="s">
        <v>1212</v>
      </c>
      <c r="B783" t="e">
        <f>VLOOKUP(A783,'Table Summary'!B:B,1,FALSE)</f>
        <v>#N/A</v>
      </c>
    </row>
    <row r="784" spans="1:2" hidden="1" x14ac:dyDescent="0.3">
      <c r="A784" t="s">
        <v>1213</v>
      </c>
      <c r="B784" t="e">
        <f>VLOOKUP(A784,'Table Summary'!B:B,1,FALSE)</f>
        <v>#N/A</v>
      </c>
    </row>
    <row r="785" spans="1:2" hidden="1" x14ac:dyDescent="0.3">
      <c r="A785" t="s">
        <v>1214</v>
      </c>
      <c r="B785" t="e">
        <f>VLOOKUP(A785,'Table Summary'!B:B,1,FALSE)</f>
        <v>#N/A</v>
      </c>
    </row>
    <row r="786" spans="1:2" hidden="1" x14ac:dyDescent="0.3">
      <c r="A786" t="s">
        <v>1215</v>
      </c>
      <c r="B786" t="e">
        <f>VLOOKUP(A786,'Table Summary'!B:B,1,FALSE)</f>
        <v>#N/A</v>
      </c>
    </row>
    <row r="787" spans="1:2" hidden="1" x14ac:dyDescent="0.3">
      <c r="A787" t="s">
        <v>1216</v>
      </c>
      <c r="B787" t="e">
        <f>VLOOKUP(A787,'Table Summary'!B:B,1,FALSE)</f>
        <v>#N/A</v>
      </c>
    </row>
    <row r="788" spans="1:2" hidden="1" x14ac:dyDescent="0.3">
      <c r="A788" t="s">
        <v>1217</v>
      </c>
      <c r="B788" t="e">
        <f>VLOOKUP(A788,'Table Summary'!B:B,1,FALSE)</f>
        <v>#N/A</v>
      </c>
    </row>
    <row r="789" spans="1:2" hidden="1" x14ac:dyDescent="0.3">
      <c r="A789" t="s">
        <v>1218</v>
      </c>
      <c r="B789" t="e">
        <f>VLOOKUP(A789,'Table Summary'!B:B,1,FALSE)</f>
        <v>#N/A</v>
      </c>
    </row>
    <row r="790" spans="1:2" hidden="1" x14ac:dyDescent="0.3">
      <c r="A790" t="s">
        <v>1219</v>
      </c>
      <c r="B790" t="e">
        <f>VLOOKUP(A790,'Table Summary'!B:B,1,FALSE)</f>
        <v>#N/A</v>
      </c>
    </row>
    <row r="791" spans="1:2" hidden="1" x14ac:dyDescent="0.3">
      <c r="A791" t="s">
        <v>1220</v>
      </c>
      <c r="B791" t="e">
        <f>VLOOKUP(A791,'Table Summary'!B:B,1,FALSE)</f>
        <v>#N/A</v>
      </c>
    </row>
    <row r="792" spans="1:2" hidden="1" x14ac:dyDescent="0.3">
      <c r="A792" t="s">
        <v>1221</v>
      </c>
      <c r="B792" t="e">
        <f>VLOOKUP(A792,'Table Summary'!B:B,1,FALSE)</f>
        <v>#N/A</v>
      </c>
    </row>
    <row r="793" spans="1:2" hidden="1" x14ac:dyDescent="0.3">
      <c r="A793" t="s">
        <v>1222</v>
      </c>
      <c r="B793" t="e">
        <f>VLOOKUP(A793,'Table Summary'!B:B,1,FALSE)</f>
        <v>#N/A</v>
      </c>
    </row>
    <row r="794" spans="1:2" hidden="1" x14ac:dyDescent="0.3">
      <c r="A794" t="s">
        <v>1223</v>
      </c>
      <c r="B794" t="e">
        <f>VLOOKUP(A794,'Table Summary'!B:B,1,FALSE)</f>
        <v>#N/A</v>
      </c>
    </row>
    <row r="795" spans="1:2" hidden="1" x14ac:dyDescent="0.3">
      <c r="A795" t="s">
        <v>1224</v>
      </c>
      <c r="B795" t="e">
        <f>VLOOKUP(A795,'Table Summary'!B:B,1,FALSE)</f>
        <v>#N/A</v>
      </c>
    </row>
    <row r="796" spans="1:2" hidden="1" x14ac:dyDescent="0.3">
      <c r="A796" t="s">
        <v>1225</v>
      </c>
      <c r="B796" t="e">
        <f>VLOOKUP(A796,'Table Summary'!B:B,1,FALSE)</f>
        <v>#N/A</v>
      </c>
    </row>
    <row r="797" spans="1:2" hidden="1" x14ac:dyDescent="0.3">
      <c r="A797" t="s">
        <v>1226</v>
      </c>
      <c r="B797" t="e">
        <f>VLOOKUP(A797,'Table Summary'!B:B,1,FALSE)</f>
        <v>#N/A</v>
      </c>
    </row>
    <row r="798" spans="1:2" hidden="1" x14ac:dyDescent="0.3">
      <c r="A798" t="s">
        <v>1227</v>
      </c>
      <c r="B798" t="e">
        <f>VLOOKUP(A798,'Table Summary'!B:B,1,FALSE)</f>
        <v>#N/A</v>
      </c>
    </row>
    <row r="799" spans="1:2" hidden="1" x14ac:dyDescent="0.3">
      <c r="A799" t="s">
        <v>1228</v>
      </c>
      <c r="B799" t="e">
        <f>VLOOKUP(A799,'Table Summary'!B:B,1,FALSE)</f>
        <v>#N/A</v>
      </c>
    </row>
    <row r="800" spans="1:2" hidden="1" x14ac:dyDescent="0.3">
      <c r="A800" t="s">
        <v>1229</v>
      </c>
      <c r="B800" t="e">
        <f>VLOOKUP(A800,'Table Summary'!B:B,1,FALSE)</f>
        <v>#N/A</v>
      </c>
    </row>
    <row r="801" spans="1:2" hidden="1" x14ac:dyDescent="0.3">
      <c r="A801" t="s">
        <v>1230</v>
      </c>
      <c r="B801" t="e">
        <f>VLOOKUP(A801,'Table Summary'!B:B,1,FALSE)</f>
        <v>#N/A</v>
      </c>
    </row>
    <row r="802" spans="1:2" hidden="1" x14ac:dyDescent="0.3">
      <c r="A802" t="s">
        <v>1231</v>
      </c>
      <c r="B802" t="e">
        <f>VLOOKUP(A802,'Table Summary'!B:B,1,FALSE)</f>
        <v>#N/A</v>
      </c>
    </row>
    <row r="803" spans="1:2" hidden="1" x14ac:dyDescent="0.3">
      <c r="A803" t="s">
        <v>1232</v>
      </c>
      <c r="B803" t="e">
        <f>VLOOKUP(A803,'Table Summary'!B:B,1,FALSE)</f>
        <v>#N/A</v>
      </c>
    </row>
    <row r="804" spans="1:2" hidden="1" x14ac:dyDescent="0.3">
      <c r="A804" t="s">
        <v>1233</v>
      </c>
      <c r="B804" t="e">
        <f>VLOOKUP(A804,'Table Summary'!B:B,1,FALSE)</f>
        <v>#N/A</v>
      </c>
    </row>
    <row r="805" spans="1:2" hidden="1" x14ac:dyDescent="0.3">
      <c r="A805" t="s">
        <v>1234</v>
      </c>
      <c r="B805" t="e">
        <f>VLOOKUP(A805,'Table Summary'!B:B,1,FALSE)</f>
        <v>#N/A</v>
      </c>
    </row>
    <row r="806" spans="1:2" hidden="1" x14ac:dyDescent="0.3">
      <c r="A806" t="s">
        <v>1235</v>
      </c>
      <c r="B806" t="e">
        <f>VLOOKUP(A806,'Table Summary'!B:B,1,FALSE)</f>
        <v>#N/A</v>
      </c>
    </row>
    <row r="807" spans="1:2" hidden="1" x14ac:dyDescent="0.3">
      <c r="A807" t="s">
        <v>1236</v>
      </c>
      <c r="B807" t="e">
        <f>VLOOKUP(A807,'Table Summary'!B:B,1,FALSE)</f>
        <v>#N/A</v>
      </c>
    </row>
    <row r="808" spans="1:2" hidden="1" x14ac:dyDescent="0.3">
      <c r="A808" t="s">
        <v>1237</v>
      </c>
      <c r="B808" t="e">
        <f>VLOOKUP(A808,'Table Summary'!B:B,1,FALSE)</f>
        <v>#N/A</v>
      </c>
    </row>
    <row r="809" spans="1:2" hidden="1" x14ac:dyDescent="0.3">
      <c r="A809" t="s">
        <v>1238</v>
      </c>
      <c r="B809" t="e">
        <f>VLOOKUP(A809,'Table Summary'!B:B,1,FALSE)</f>
        <v>#N/A</v>
      </c>
    </row>
    <row r="810" spans="1:2" hidden="1" x14ac:dyDescent="0.3">
      <c r="A810" t="s">
        <v>1239</v>
      </c>
      <c r="B810" t="e">
        <f>VLOOKUP(A810,'Table Summary'!B:B,1,FALSE)</f>
        <v>#N/A</v>
      </c>
    </row>
    <row r="811" spans="1:2" hidden="1" x14ac:dyDescent="0.3">
      <c r="A811" t="s">
        <v>1240</v>
      </c>
      <c r="B811" t="e">
        <f>VLOOKUP(A811,'Table Summary'!B:B,1,FALSE)</f>
        <v>#N/A</v>
      </c>
    </row>
    <row r="812" spans="1:2" hidden="1" x14ac:dyDescent="0.3">
      <c r="A812" t="s">
        <v>1241</v>
      </c>
      <c r="B812" t="e">
        <f>VLOOKUP(A812,'Table Summary'!B:B,1,FALSE)</f>
        <v>#N/A</v>
      </c>
    </row>
    <row r="813" spans="1:2" hidden="1" x14ac:dyDescent="0.3">
      <c r="A813" t="s">
        <v>1242</v>
      </c>
      <c r="B813" t="e">
        <f>VLOOKUP(A813,'Table Summary'!B:B,1,FALSE)</f>
        <v>#N/A</v>
      </c>
    </row>
    <row r="814" spans="1:2" hidden="1" x14ac:dyDescent="0.3">
      <c r="A814" t="s">
        <v>1243</v>
      </c>
      <c r="B814" t="e">
        <f>VLOOKUP(A814,'Table Summary'!B:B,1,FALSE)</f>
        <v>#N/A</v>
      </c>
    </row>
    <row r="815" spans="1:2" hidden="1" x14ac:dyDescent="0.3">
      <c r="A815" t="s">
        <v>1244</v>
      </c>
      <c r="B815" t="e">
        <f>VLOOKUP(A815,'Table Summary'!B:B,1,FALSE)</f>
        <v>#N/A</v>
      </c>
    </row>
    <row r="816" spans="1:2" hidden="1" x14ac:dyDescent="0.3">
      <c r="A816" t="s">
        <v>1245</v>
      </c>
      <c r="B816" t="e">
        <f>VLOOKUP(A816,'Table Summary'!B:B,1,FALSE)</f>
        <v>#N/A</v>
      </c>
    </row>
    <row r="817" spans="1:2" hidden="1" x14ac:dyDescent="0.3">
      <c r="A817" t="s">
        <v>1246</v>
      </c>
      <c r="B817" t="e">
        <f>VLOOKUP(A817,'Table Summary'!B:B,1,FALSE)</f>
        <v>#N/A</v>
      </c>
    </row>
    <row r="818" spans="1:2" hidden="1" x14ac:dyDescent="0.3">
      <c r="A818" t="s">
        <v>1247</v>
      </c>
      <c r="B818" t="e">
        <f>VLOOKUP(A818,'Table Summary'!B:B,1,FALSE)</f>
        <v>#N/A</v>
      </c>
    </row>
    <row r="819" spans="1:2" hidden="1" x14ac:dyDescent="0.3">
      <c r="A819" t="s">
        <v>1248</v>
      </c>
      <c r="B819" t="e">
        <f>VLOOKUP(A819,'Table Summary'!B:B,1,FALSE)</f>
        <v>#N/A</v>
      </c>
    </row>
    <row r="820" spans="1:2" hidden="1" x14ac:dyDescent="0.3">
      <c r="A820" t="s">
        <v>1249</v>
      </c>
      <c r="B820" t="e">
        <f>VLOOKUP(A820,'Table Summary'!B:B,1,FALSE)</f>
        <v>#N/A</v>
      </c>
    </row>
    <row r="821" spans="1:2" hidden="1" x14ac:dyDescent="0.3">
      <c r="A821" t="s">
        <v>1250</v>
      </c>
      <c r="B821" t="e">
        <f>VLOOKUP(A821,'Table Summary'!B:B,1,FALSE)</f>
        <v>#N/A</v>
      </c>
    </row>
    <row r="822" spans="1:2" hidden="1" x14ac:dyDescent="0.3">
      <c r="A822" t="s">
        <v>1251</v>
      </c>
      <c r="B822" t="e">
        <f>VLOOKUP(A822,'Table Summary'!B:B,1,FALSE)</f>
        <v>#N/A</v>
      </c>
    </row>
    <row r="823" spans="1:2" hidden="1" x14ac:dyDescent="0.3">
      <c r="A823" t="s">
        <v>1252</v>
      </c>
      <c r="B823" t="e">
        <f>VLOOKUP(A823,'Table Summary'!B:B,1,FALSE)</f>
        <v>#N/A</v>
      </c>
    </row>
    <row r="824" spans="1:2" hidden="1" x14ac:dyDescent="0.3">
      <c r="A824" t="s">
        <v>1253</v>
      </c>
      <c r="B824" t="e">
        <f>VLOOKUP(A824,'Table Summary'!B:B,1,FALSE)</f>
        <v>#N/A</v>
      </c>
    </row>
    <row r="825" spans="1:2" hidden="1" x14ac:dyDescent="0.3">
      <c r="A825" t="s">
        <v>1254</v>
      </c>
      <c r="B825" t="e">
        <f>VLOOKUP(A825,'Table Summary'!B:B,1,FALSE)</f>
        <v>#N/A</v>
      </c>
    </row>
    <row r="826" spans="1:2" hidden="1" x14ac:dyDescent="0.3">
      <c r="A826" t="s">
        <v>1255</v>
      </c>
      <c r="B826" t="e">
        <f>VLOOKUP(A826,'Table Summary'!B:B,1,FALSE)</f>
        <v>#N/A</v>
      </c>
    </row>
    <row r="827" spans="1:2" hidden="1" x14ac:dyDescent="0.3">
      <c r="A827" t="s">
        <v>1256</v>
      </c>
      <c r="B827" t="e">
        <f>VLOOKUP(A827,'Table Summary'!B:B,1,FALSE)</f>
        <v>#N/A</v>
      </c>
    </row>
    <row r="828" spans="1:2" hidden="1" x14ac:dyDescent="0.3">
      <c r="A828" t="s">
        <v>1257</v>
      </c>
      <c r="B828" t="e">
        <f>VLOOKUP(A828,'Table Summary'!B:B,1,FALSE)</f>
        <v>#N/A</v>
      </c>
    </row>
    <row r="829" spans="1:2" hidden="1" x14ac:dyDescent="0.3">
      <c r="A829" t="s">
        <v>1258</v>
      </c>
      <c r="B829" t="e">
        <f>VLOOKUP(A829,'Table Summary'!B:B,1,FALSE)</f>
        <v>#N/A</v>
      </c>
    </row>
    <row r="830" spans="1:2" hidden="1" x14ac:dyDescent="0.3">
      <c r="A830" t="s">
        <v>1259</v>
      </c>
      <c r="B830" t="e">
        <f>VLOOKUP(A830,'Table Summary'!B:B,1,FALSE)</f>
        <v>#N/A</v>
      </c>
    </row>
    <row r="831" spans="1:2" hidden="1" x14ac:dyDescent="0.3">
      <c r="A831" t="s">
        <v>1260</v>
      </c>
      <c r="B831" t="e">
        <f>VLOOKUP(A831,'Table Summary'!B:B,1,FALSE)</f>
        <v>#N/A</v>
      </c>
    </row>
    <row r="832" spans="1:2" hidden="1" x14ac:dyDescent="0.3">
      <c r="A832" t="s">
        <v>1261</v>
      </c>
      <c r="B832" t="e">
        <f>VLOOKUP(A832,'Table Summary'!B:B,1,FALSE)</f>
        <v>#N/A</v>
      </c>
    </row>
    <row r="833" spans="1:2" hidden="1" x14ac:dyDescent="0.3">
      <c r="A833" t="s">
        <v>1262</v>
      </c>
      <c r="B833" t="e">
        <f>VLOOKUP(A833,'Table Summary'!B:B,1,FALSE)</f>
        <v>#N/A</v>
      </c>
    </row>
    <row r="834" spans="1:2" hidden="1" x14ac:dyDescent="0.3">
      <c r="A834" t="s">
        <v>1263</v>
      </c>
      <c r="B834" t="e">
        <f>VLOOKUP(A834,'Table Summary'!B:B,1,FALSE)</f>
        <v>#N/A</v>
      </c>
    </row>
    <row r="835" spans="1:2" hidden="1" x14ac:dyDescent="0.3">
      <c r="A835" t="s">
        <v>1264</v>
      </c>
      <c r="B835" t="e">
        <f>VLOOKUP(A835,'Table Summary'!B:B,1,FALSE)</f>
        <v>#N/A</v>
      </c>
    </row>
    <row r="836" spans="1:2" hidden="1" x14ac:dyDescent="0.3">
      <c r="A836" t="s">
        <v>1265</v>
      </c>
      <c r="B836" t="e">
        <f>VLOOKUP(A836,'Table Summary'!B:B,1,FALSE)</f>
        <v>#N/A</v>
      </c>
    </row>
    <row r="837" spans="1:2" hidden="1" x14ac:dyDescent="0.3">
      <c r="A837" t="s">
        <v>1266</v>
      </c>
      <c r="B837" t="e">
        <f>VLOOKUP(A837,'Table Summary'!B:B,1,FALSE)</f>
        <v>#N/A</v>
      </c>
    </row>
    <row r="838" spans="1:2" hidden="1" x14ac:dyDescent="0.3">
      <c r="A838" t="s">
        <v>1267</v>
      </c>
      <c r="B838" t="e">
        <f>VLOOKUP(A838,'Table Summary'!B:B,1,FALSE)</f>
        <v>#N/A</v>
      </c>
    </row>
    <row r="839" spans="1:2" hidden="1" x14ac:dyDescent="0.3">
      <c r="A839" t="s">
        <v>1268</v>
      </c>
      <c r="B839" t="e">
        <f>VLOOKUP(A839,'Table Summary'!B:B,1,FALSE)</f>
        <v>#N/A</v>
      </c>
    </row>
    <row r="840" spans="1:2" hidden="1" x14ac:dyDescent="0.3">
      <c r="A840" t="s">
        <v>1269</v>
      </c>
      <c r="B840" t="e">
        <f>VLOOKUP(A840,'Table Summary'!B:B,1,FALSE)</f>
        <v>#N/A</v>
      </c>
    </row>
  </sheetData>
  <autoFilter ref="A1:B840" xr:uid="{00000000-0009-0000-0000-000001000000}">
    <filterColumn colId="1">
      <filters>
        <filter val="O_CLAIM_ADJUST"/>
        <filter val="O_CLAIM_AUDIT_DECISION"/>
        <filter val="O_CLAIM_CASE"/>
        <filter val="O_CLAIM_CHECKLIST"/>
        <filter val="O_CLAIM_CHECKLIST_DTL"/>
        <filter val="O_CLAIM_CURE"/>
        <filter val="O_CLAIM_INVEST_INFO"/>
        <filter val="O_CLAIM_INVESTIGATE"/>
        <filter val="O_CLAIM_LIAB"/>
        <filter val="O_CLAIM_MEET"/>
        <filter val="O_CLAIM_PAY"/>
        <filter val="O_CLAIM_PRODUCT"/>
        <filter val="O_CLAIM_RISK"/>
        <filter val="O_CLAIM_TYPE"/>
        <filter val="O_CLM_BANK_ACCOUNT"/>
        <filter val="O_CLM_CONTRACT_PRODUCT"/>
        <filter val="O_FATCA_DD_LIST"/>
        <filter val="O_FATCA_SURVEY_PPN"/>
        <filter val="O_LIABILITY_CATEGORY"/>
      </filters>
    </filterColumn>
  </autoFilter>
  <phoneticPr fontId="3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2"/>
  <dimension ref="A1:AR160"/>
  <sheetViews>
    <sheetView tabSelected="1" zoomScale="70" zoomScaleNormal="70" workbookViewId="0">
      <selection activeCell="B30" sqref="B30"/>
    </sheetView>
  </sheetViews>
  <sheetFormatPr defaultColWidth="8.8984375" defaultRowHeight="14.4" x14ac:dyDescent="0.3"/>
  <cols>
    <col min="1" max="1" width="19.59765625" style="8" customWidth="1"/>
    <col min="2" max="2" width="80.796875" style="24" bestFit="1" customWidth="1"/>
    <col min="3" max="3" width="16.296875" style="9" customWidth="1"/>
    <col min="4" max="4" width="18.69921875" style="9" customWidth="1"/>
    <col min="5" max="6" width="18" style="9" customWidth="1"/>
    <col min="7" max="7" width="32.59765625" style="9" customWidth="1"/>
    <col min="8" max="9" width="17.8984375" style="9" customWidth="1"/>
    <col min="10" max="10" width="28.09765625" style="9" customWidth="1"/>
    <col min="11" max="20" width="8.8984375" style="9"/>
    <col min="21" max="21" width="19.59765625" style="8" customWidth="1"/>
    <col min="22" max="22" width="31.69921875" style="8" customWidth="1"/>
    <col min="23" max="23" width="46.296875" style="22" customWidth="1"/>
    <col min="24" max="24" width="16.59765625" style="8" customWidth="1"/>
    <col min="25" max="25" width="49.8984375" style="22" customWidth="1"/>
    <col min="26" max="26" width="12.3984375" style="8" customWidth="1"/>
    <col min="27" max="27" width="11.59765625" style="8" customWidth="1"/>
    <col min="28" max="28" width="11.296875" style="9" customWidth="1"/>
    <col min="29" max="29" width="8.8984375" style="9"/>
    <col min="30" max="30" width="13.69921875" style="9" customWidth="1"/>
    <col min="31" max="31" width="16.796875" style="9" customWidth="1"/>
    <col min="32" max="32" width="18.3984375" style="9" customWidth="1"/>
    <col min="33" max="33" width="21" style="9" customWidth="1"/>
    <col min="34" max="34" width="18.3984375" style="9" customWidth="1"/>
    <col min="35" max="35" width="16.09765625" style="9" customWidth="1"/>
    <col min="36" max="36" width="17.69921875" style="9" customWidth="1"/>
    <col min="37" max="37" width="18.796875" style="9" customWidth="1"/>
    <col min="38" max="41" width="31.09765625" style="9" customWidth="1"/>
    <col min="42" max="42" width="29.796875" style="9" customWidth="1"/>
    <col min="43" max="43" width="37.69921875" style="9" customWidth="1"/>
    <col min="44" max="44" width="28.796875" style="9" customWidth="1"/>
    <col min="45" max="16384" width="8.8984375" style="9"/>
  </cols>
  <sheetData>
    <row r="1" spans="1:44" ht="15" thickBot="1" x14ac:dyDescent="0.35">
      <c r="A1" s="18" t="s">
        <v>20</v>
      </c>
      <c r="B1" s="58" t="s">
        <v>21</v>
      </c>
      <c r="C1" s="59" t="s">
        <v>22</v>
      </c>
      <c r="D1" s="76" t="s">
        <v>1300</v>
      </c>
      <c r="G1" s="11" t="s">
        <v>23</v>
      </c>
      <c r="H1" s="12" t="s">
        <v>24</v>
      </c>
      <c r="I1" s="12" t="s">
        <v>1270</v>
      </c>
      <c r="J1" s="12" t="s">
        <v>25</v>
      </c>
      <c r="K1" s="12" t="s">
        <v>26</v>
      </c>
      <c r="U1" s="42" t="s">
        <v>27</v>
      </c>
      <c r="V1" s="51" t="s">
        <v>393</v>
      </c>
      <c r="W1" s="52" t="s">
        <v>394</v>
      </c>
      <c r="X1" s="51" t="s">
        <v>395</v>
      </c>
      <c r="Y1" s="53" t="s">
        <v>396</v>
      </c>
      <c r="Z1" s="54" t="s">
        <v>397</v>
      </c>
      <c r="AA1" s="54" t="s">
        <v>28</v>
      </c>
      <c r="AB1" s="55" t="s">
        <v>29</v>
      </c>
      <c r="AD1" s="9" t="s">
        <v>30</v>
      </c>
      <c r="AE1" s="9" t="s">
        <v>30</v>
      </c>
      <c r="AF1" s="9" t="s">
        <v>31</v>
      </c>
      <c r="AG1" s="9" t="s">
        <v>31</v>
      </c>
      <c r="AH1" s="9" t="s">
        <v>32</v>
      </c>
      <c r="AI1" s="9" t="s">
        <v>32</v>
      </c>
      <c r="AJ1" s="13" t="s">
        <v>33</v>
      </c>
      <c r="AK1" s="13" t="s">
        <v>34</v>
      </c>
      <c r="AL1" s="14" t="s">
        <v>35</v>
      </c>
      <c r="AM1" s="14" t="s">
        <v>36</v>
      </c>
      <c r="AN1" s="15" t="s">
        <v>37</v>
      </c>
      <c r="AO1" s="16"/>
      <c r="AP1" s="17" t="s">
        <v>38</v>
      </c>
      <c r="AQ1" s="17" t="s">
        <v>39</v>
      </c>
      <c r="AR1" s="17" t="s">
        <v>40</v>
      </c>
    </row>
    <row r="2" spans="1:44" ht="16.2" thickBot="1" x14ac:dyDescent="0.35">
      <c r="A2" s="60" t="s">
        <v>53</v>
      </c>
      <c r="B2" s="61" t="s">
        <v>345</v>
      </c>
      <c r="C2" s="60"/>
      <c r="G2" s="27" t="s">
        <v>1336</v>
      </c>
      <c r="H2" s="27" t="s">
        <v>1336</v>
      </c>
      <c r="I2" s="86"/>
      <c r="J2" s="37"/>
      <c r="U2" s="109" t="s">
        <v>1344</v>
      </c>
      <c r="V2" s="109" t="s">
        <v>357</v>
      </c>
      <c r="W2" s="110" t="s">
        <v>223</v>
      </c>
      <c r="X2" s="109" t="s">
        <v>1345</v>
      </c>
      <c r="Y2" s="110" t="s">
        <v>1346</v>
      </c>
      <c r="Z2" s="109" t="s">
        <v>1347</v>
      </c>
      <c r="AA2" s="109" t="s">
        <v>64</v>
      </c>
      <c r="AB2" s="109" t="s">
        <v>227</v>
      </c>
      <c r="AD2" s="9" t="s">
        <v>42</v>
      </c>
      <c r="AE2" s="9">
        <v>0</v>
      </c>
      <c r="AF2" s="9" t="b">
        <v>0</v>
      </c>
      <c r="AG2" s="9" t="s">
        <v>43</v>
      </c>
      <c r="AH2" s="9" t="s">
        <v>44</v>
      </c>
      <c r="AI2" s="9">
        <v>1</v>
      </c>
      <c r="AJ2" s="44" t="s">
        <v>45</v>
      </c>
      <c r="AK2" s="9" t="s">
        <v>46</v>
      </c>
      <c r="AL2" s="19" t="s">
        <v>47</v>
      </c>
      <c r="AM2" s="19" t="s">
        <v>48</v>
      </c>
      <c r="AN2" s="20" t="s">
        <v>49</v>
      </c>
      <c r="AO2" s="20"/>
      <c r="AP2" s="21" t="s">
        <v>50</v>
      </c>
      <c r="AQ2" s="21" t="s">
        <v>51</v>
      </c>
      <c r="AR2" s="21" t="s">
        <v>52</v>
      </c>
    </row>
    <row r="3" spans="1:44" ht="16.2" thickBot="1" x14ac:dyDescent="0.35">
      <c r="A3" s="25" t="s">
        <v>34</v>
      </c>
      <c r="B3" s="62" t="s">
        <v>57</v>
      </c>
      <c r="C3" s="25"/>
      <c r="G3" s="27" t="s">
        <v>1337</v>
      </c>
      <c r="H3" s="27" t="s">
        <v>1337</v>
      </c>
      <c r="I3" s="86"/>
      <c r="J3" s="71"/>
      <c r="U3" s="109" t="s">
        <v>228</v>
      </c>
      <c r="V3" s="109" t="s">
        <v>229</v>
      </c>
      <c r="W3" s="110" t="s">
        <v>223</v>
      </c>
      <c r="X3" s="109" t="s">
        <v>1348</v>
      </c>
      <c r="Y3" s="110" t="s">
        <v>1349</v>
      </c>
      <c r="Z3" s="109" t="s">
        <v>226</v>
      </c>
      <c r="AA3" s="109" t="s">
        <v>64</v>
      </c>
      <c r="AB3" s="109" t="s">
        <v>1350</v>
      </c>
      <c r="AD3" s="9" t="s">
        <v>54</v>
      </c>
      <c r="AE3" s="9">
        <v>1</v>
      </c>
      <c r="AF3" s="9" t="b">
        <v>1</v>
      </c>
      <c r="AG3" s="9" t="s">
        <v>55</v>
      </c>
      <c r="AH3" s="9" t="s">
        <v>56</v>
      </c>
      <c r="AI3" s="9">
        <v>2</v>
      </c>
      <c r="AJ3" s="44" t="s">
        <v>342</v>
      </c>
      <c r="AK3" s="9" t="s">
        <v>57</v>
      </c>
      <c r="AL3" s="19" t="s">
        <v>58</v>
      </c>
      <c r="AM3" s="19" t="s">
        <v>59</v>
      </c>
      <c r="AN3" s="20" t="s">
        <v>60</v>
      </c>
      <c r="AO3" s="20"/>
      <c r="AP3" s="21" t="s">
        <v>61</v>
      </c>
      <c r="AQ3" s="21" t="s">
        <v>62</v>
      </c>
      <c r="AR3" s="21" t="s">
        <v>63</v>
      </c>
    </row>
    <row r="4" spans="1:44" ht="15" thickBot="1" x14ac:dyDescent="0.35">
      <c r="A4" s="57" t="s">
        <v>408</v>
      </c>
      <c r="B4" s="63" t="s">
        <v>1753</v>
      </c>
      <c r="C4" s="25"/>
      <c r="D4" s="63" t="s">
        <v>1752</v>
      </c>
      <c r="G4" s="27" t="s">
        <v>1338</v>
      </c>
      <c r="H4" s="27" t="s">
        <v>1338</v>
      </c>
      <c r="I4" s="85"/>
      <c r="J4" s="71"/>
      <c r="U4" s="109" t="s">
        <v>358</v>
      </c>
      <c r="V4" s="109" t="s">
        <v>359</v>
      </c>
      <c r="W4" s="110" t="s">
        <v>1351</v>
      </c>
      <c r="X4" s="109" t="s">
        <v>1352</v>
      </c>
      <c r="Y4" s="109" t="s">
        <v>346</v>
      </c>
      <c r="Z4" s="109" t="s">
        <v>226</v>
      </c>
      <c r="AA4" s="109" t="s">
        <v>64</v>
      </c>
      <c r="AB4" s="109" t="s">
        <v>1350</v>
      </c>
      <c r="AD4" s="9" t="s">
        <v>65</v>
      </c>
      <c r="AE4" s="9">
        <v>2</v>
      </c>
      <c r="AF4" s="9" t="s">
        <v>66</v>
      </c>
      <c r="AG4" s="9" t="s">
        <v>55</v>
      </c>
      <c r="AH4" s="9" t="s">
        <v>67</v>
      </c>
      <c r="AI4" s="9">
        <v>4</v>
      </c>
      <c r="AJ4" s="44" t="s">
        <v>343</v>
      </c>
      <c r="AK4" s="9" t="s">
        <v>68</v>
      </c>
      <c r="AM4" s="19"/>
      <c r="AN4" s="20" t="s">
        <v>1323</v>
      </c>
      <c r="AO4" s="20"/>
      <c r="AP4" s="21" t="s">
        <v>70</v>
      </c>
      <c r="AQ4" s="21" t="s">
        <v>71</v>
      </c>
      <c r="AR4" s="21" t="s">
        <v>52</v>
      </c>
    </row>
    <row r="5" spans="1:44" ht="15" thickBot="1" x14ac:dyDescent="0.35">
      <c r="A5" s="25" t="s">
        <v>79</v>
      </c>
      <c r="B5" s="65" t="b">
        <v>0</v>
      </c>
      <c r="C5" s="25"/>
      <c r="G5" s="27" t="s">
        <v>1334</v>
      </c>
      <c r="H5" s="27" t="s">
        <v>1339</v>
      </c>
      <c r="I5" s="8"/>
      <c r="J5" s="37"/>
      <c r="U5" s="109" t="s">
        <v>230</v>
      </c>
      <c r="V5" s="109" t="s">
        <v>1353</v>
      </c>
      <c r="W5" s="110" t="s">
        <v>223</v>
      </c>
      <c r="X5" s="109" t="s">
        <v>1348</v>
      </c>
      <c r="Y5" s="110" t="s">
        <v>347</v>
      </c>
      <c r="Z5" s="109" t="s">
        <v>226</v>
      </c>
      <c r="AA5" s="109" t="s">
        <v>64</v>
      </c>
      <c r="AB5" s="109" t="s">
        <v>227</v>
      </c>
      <c r="AD5" s="9" t="s">
        <v>72</v>
      </c>
      <c r="AE5" s="9">
        <v>4</v>
      </c>
      <c r="AF5" s="9" t="s">
        <v>73</v>
      </c>
      <c r="AG5" s="9" t="s">
        <v>74</v>
      </c>
      <c r="AH5" s="9" t="s">
        <v>75</v>
      </c>
      <c r="AI5" s="9">
        <v>8</v>
      </c>
      <c r="AK5" s="43" t="s">
        <v>327</v>
      </c>
      <c r="AN5" s="20" t="s">
        <v>69</v>
      </c>
      <c r="AP5" s="21" t="s">
        <v>77</v>
      </c>
      <c r="AQ5" s="21" t="s">
        <v>78</v>
      </c>
      <c r="AR5" s="21" t="s">
        <v>63</v>
      </c>
    </row>
    <row r="6" spans="1:44" ht="15" thickBot="1" x14ac:dyDescent="0.35">
      <c r="A6" s="26" t="s">
        <v>87</v>
      </c>
      <c r="B6" s="64" t="s">
        <v>1737</v>
      </c>
      <c r="C6" s="78" t="s">
        <v>1271</v>
      </c>
      <c r="J6" s="37"/>
      <c r="U6" s="109" t="s">
        <v>1354</v>
      </c>
      <c r="V6" s="109" t="s">
        <v>231</v>
      </c>
      <c r="W6" s="110" t="s">
        <v>223</v>
      </c>
      <c r="X6" s="109" t="s">
        <v>1348</v>
      </c>
      <c r="Y6" s="110" t="s">
        <v>1355</v>
      </c>
      <c r="Z6" s="109" t="s">
        <v>226</v>
      </c>
      <c r="AA6" s="109" t="s">
        <v>64</v>
      </c>
      <c r="AB6" s="109" t="s">
        <v>227</v>
      </c>
      <c r="AD6" s="9" t="s">
        <v>80</v>
      </c>
      <c r="AE6" s="9">
        <v>8</v>
      </c>
      <c r="AF6" s="9" t="s">
        <v>81</v>
      </c>
      <c r="AG6" s="9" t="s">
        <v>82</v>
      </c>
      <c r="AK6" s="9" t="s">
        <v>83</v>
      </c>
      <c r="AN6" s="20" t="s">
        <v>76</v>
      </c>
      <c r="AP6" s="21" t="s">
        <v>84</v>
      </c>
      <c r="AQ6" s="21" t="s">
        <v>85</v>
      </c>
      <c r="AR6" s="21" t="s">
        <v>86</v>
      </c>
    </row>
    <row r="7" spans="1:44" ht="15" thickBot="1" x14ac:dyDescent="0.35">
      <c r="A7" s="8" t="s">
        <v>337</v>
      </c>
      <c r="B7" s="22"/>
      <c r="C7" s="22"/>
      <c r="J7" s="37"/>
      <c r="U7" s="109" t="s">
        <v>1356</v>
      </c>
      <c r="V7" s="109" t="s">
        <v>360</v>
      </c>
      <c r="W7" s="110" t="s">
        <v>223</v>
      </c>
      <c r="X7" s="109" t="s">
        <v>1352</v>
      </c>
      <c r="Y7" s="110" t="s">
        <v>348</v>
      </c>
      <c r="Z7" s="109" t="s">
        <v>226</v>
      </c>
      <c r="AA7" s="109" t="s">
        <v>64</v>
      </c>
      <c r="AB7" s="109" t="s">
        <v>1350</v>
      </c>
      <c r="AD7" s="9" t="s">
        <v>88</v>
      </c>
      <c r="AE7" s="9">
        <v>16</v>
      </c>
      <c r="AF7" s="9" t="s">
        <v>89</v>
      </c>
      <c r="AG7" s="9" t="s">
        <v>90</v>
      </c>
      <c r="AK7" s="9" t="s">
        <v>91</v>
      </c>
      <c r="AP7" s="21" t="s">
        <v>92</v>
      </c>
      <c r="AQ7" s="21" t="s">
        <v>93</v>
      </c>
      <c r="AR7" s="21" t="s">
        <v>94</v>
      </c>
    </row>
    <row r="8" spans="1:44" ht="16.2" thickBot="1" x14ac:dyDescent="0.35">
      <c r="A8" s="66" t="s">
        <v>41</v>
      </c>
      <c r="B8" s="77" t="s">
        <v>1739</v>
      </c>
      <c r="C8" s="77"/>
      <c r="D8" s="77"/>
      <c r="E8" s="79"/>
      <c r="J8" s="90"/>
      <c r="U8" s="109" t="s">
        <v>361</v>
      </c>
      <c r="V8" s="109" t="s">
        <v>1357</v>
      </c>
      <c r="W8" s="110" t="s">
        <v>1351</v>
      </c>
      <c r="X8" s="109" t="s">
        <v>1348</v>
      </c>
      <c r="Y8" s="110" t="s">
        <v>348</v>
      </c>
      <c r="Z8" s="109" t="s">
        <v>226</v>
      </c>
      <c r="AA8" s="109" t="s">
        <v>64</v>
      </c>
      <c r="AB8" s="109" t="s">
        <v>227</v>
      </c>
      <c r="AF8" s="9" t="s">
        <v>95</v>
      </c>
      <c r="AG8" s="9" t="s">
        <v>96</v>
      </c>
      <c r="AP8" s="21" t="s">
        <v>97</v>
      </c>
      <c r="AQ8" s="21" t="s">
        <v>98</v>
      </c>
      <c r="AR8" s="21" t="s">
        <v>52</v>
      </c>
    </row>
    <row r="9" spans="1:44" ht="15" thickBot="1" x14ac:dyDescent="0.35">
      <c r="A9" s="66" t="s">
        <v>41</v>
      </c>
      <c r="B9" s="77" t="s">
        <v>1751</v>
      </c>
      <c r="C9" s="77" t="s">
        <v>420</v>
      </c>
      <c r="D9" s="77" t="s">
        <v>1299</v>
      </c>
      <c r="E9" s="79"/>
      <c r="J9" s="37"/>
      <c r="U9" s="109" t="s">
        <v>232</v>
      </c>
      <c r="V9" s="109" t="s">
        <v>233</v>
      </c>
      <c r="W9" s="110" t="s">
        <v>362</v>
      </c>
      <c r="X9" s="109" t="s">
        <v>1348</v>
      </c>
      <c r="Y9" s="110" t="s">
        <v>349</v>
      </c>
      <c r="Z9" s="109" t="s">
        <v>226</v>
      </c>
      <c r="AA9" s="109" t="s">
        <v>145</v>
      </c>
      <c r="AB9" s="109" t="s">
        <v>227</v>
      </c>
      <c r="AF9" s="9" t="s">
        <v>100</v>
      </c>
      <c r="AG9" s="9" t="s">
        <v>101</v>
      </c>
      <c r="AP9" s="21" t="s">
        <v>92</v>
      </c>
      <c r="AQ9" s="21" t="s">
        <v>93</v>
      </c>
      <c r="AR9" s="21" t="s">
        <v>94</v>
      </c>
    </row>
    <row r="10" spans="1:44" ht="15" thickBot="1" x14ac:dyDescent="0.35">
      <c r="A10" s="98" t="s">
        <v>1322</v>
      </c>
      <c r="B10" s="20" t="s">
        <v>1323</v>
      </c>
      <c r="C10" s="56" t="s">
        <v>1324</v>
      </c>
      <c r="D10" s="9" t="s">
        <v>1325</v>
      </c>
      <c r="E10" s="80"/>
      <c r="J10" s="8"/>
      <c r="U10" s="109" t="s">
        <v>234</v>
      </c>
      <c r="V10" s="109" t="s">
        <v>235</v>
      </c>
      <c r="W10" s="110" t="s">
        <v>320</v>
      </c>
      <c r="X10" s="109" t="s">
        <v>1348</v>
      </c>
      <c r="Y10" s="110" t="s">
        <v>350</v>
      </c>
      <c r="Z10" s="109" t="s">
        <v>1347</v>
      </c>
      <c r="AA10" s="109" t="s">
        <v>145</v>
      </c>
      <c r="AB10" s="109" t="s">
        <v>1358</v>
      </c>
      <c r="AF10" s="9" t="s">
        <v>102</v>
      </c>
      <c r="AG10" s="9" t="s">
        <v>103</v>
      </c>
      <c r="AP10" s="21" t="s">
        <v>104</v>
      </c>
      <c r="AQ10" s="21" t="s">
        <v>105</v>
      </c>
      <c r="AR10" s="21" t="s">
        <v>52</v>
      </c>
    </row>
    <row r="11" spans="1:44" ht="15" thickBot="1" x14ac:dyDescent="0.35">
      <c r="A11" s="25" t="s">
        <v>1746</v>
      </c>
      <c r="B11" s="62" t="s">
        <v>1749</v>
      </c>
      <c r="C11" s="56"/>
      <c r="E11" s="81"/>
      <c r="J11" s="8"/>
      <c r="U11" s="109" t="s">
        <v>236</v>
      </c>
      <c r="V11" s="109" t="s">
        <v>237</v>
      </c>
      <c r="W11" s="110" t="s">
        <v>321</v>
      </c>
      <c r="X11" s="109" t="s">
        <v>1348</v>
      </c>
      <c r="Y11" s="110" t="s">
        <v>351</v>
      </c>
      <c r="Z11" s="109" t="s">
        <v>226</v>
      </c>
      <c r="AA11" s="109" t="s">
        <v>145</v>
      </c>
      <c r="AB11" s="109" t="s">
        <v>1350</v>
      </c>
      <c r="AF11" s="9" t="s">
        <v>106</v>
      </c>
      <c r="AG11" s="9" t="s">
        <v>107</v>
      </c>
      <c r="AP11" s="21" t="s">
        <v>108</v>
      </c>
      <c r="AQ11" s="21" t="s">
        <v>109</v>
      </c>
      <c r="AR11" s="21" t="s">
        <v>63</v>
      </c>
    </row>
    <row r="12" spans="1:44" ht="15" thickBot="1" x14ac:dyDescent="0.35">
      <c r="A12" s="25" t="s">
        <v>1747</v>
      </c>
      <c r="B12" s="62" t="s">
        <v>1748</v>
      </c>
      <c r="C12" s="56"/>
      <c r="E12" s="80"/>
      <c r="J12" s="8"/>
      <c r="U12" s="109" t="s">
        <v>238</v>
      </c>
      <c r="V12" s="109" t="s">
        <v>1359</v>
      </c>
      <c r="W12" s="110" t="s">
        <v>363</v>
      </c>
      <c r="X12" s="109" t="s">
        <v>1348</v>
      </c>
      <c r="Y12" s="110" t="s">
        <v>352</v>
      </c>
      <c r="Z12" s="109" t="s">
        <v>226</v>
      </c>
      <c r="AA12" s="109" t="s">
        <v>145</v>
      </c>
      <c r="AB12" s="109" t="s">
        <v>227</v>
      </c>
      <c r="AF12" s="9" t="s">
        <v>111</v>
      </c>
      <c r="AG12" s="9" t="s">
        <v>112</v>
      </c>
      <c r="AP12" s="21" t="s">
        <v>113</v>
      </c>
      <c r="AQ12" s="21" t="s">
        <v>114</v>
      </c>
      <c r="AR12" s="21" t="s">
        <v>52</v>
      </c>
    </row>
    <row r="13" spans="1:44" ht="15" thickBot="1" x14ac:dyDescent="0.35">
      <c r="A13" s="137" t="s">
        <v>1731</v>
      </c>
      <c r="B13" s="62" t="s">
        <v>1754</v>
      </c>
      <c r="C13" s="56"/>
      <c r="E13" s="80"/>
      <c r="J13" s="37"/>
      <c r="U13" s="109" t="s">
        <v>1360</v>
      </c>
      <c r="V13" s="109" t="s">
        <v>1361</v>
      </c>
      <c r="W13" s="110">
        <v>7</v>
      </c>
      <c r="X13" s="109" t="s">
        <v>239</v>
      </c>
      <c r="Y13" s="110" t="s">
        <v>240</v>
      </c>
      <c r="Z13" s="109" t="s">
        <v>1362</v>
      </c>
      <c r="AA13" s="109" t="s">
        <v>64</v>
      </c>
      <c r="AB13" s="109" t="s">
        <v>227</v>
      </c>
      <c r="AF13" s="9">
        <v>0</v>
      </c>
      <c r="AG13" s="9" t="s">
        <v>43</v>
      </c>
      <c r="AP13" s="21" t="s">
        <v>115</v>
      </c>
      <c r="AQ13" s="21" t="s">
        <v>116</v>
      </c>
      <c r="AR13" s="21" t="s">
        <v>63</v>
      </c>
    </row>
    <row r="14" spans="1:44" ht="15" thickBot="1" x14ac:dyDescent="0.35">
      <c r="A14" s="25" t="s">
        <v>1755</v>
      </c>
      <c r="B14" s="62" t="s">
        <v>1756</v>
      </c>
      <c r="C14" s="56"/>
      <c r="E14" s="82"/>
      <c r="J14" s="8"/>
      <c r="U14" s="109" t="s">
        <v>1363</v>
      </c>
      <c r="V14" s="109" t="s">
        <v>242</v>
      </c>
      <c r="W14" s="110" t="b">
        <v>1</v>
      </c>
      <c r="X14" s="109" t="s">
        <v>243</v>
      </c>
      <c r="Y14" s="110" t="b">
        <v>0</v>
      </c>
      <c r="Z14" s="109" t="s">
        <v>1362</v>
      </c>
      <c r="AA14" s="109" t="s">
        <v>64</v>
      </c>
      <c r="AB14" s="109" t="s">
        <v>227</v>
      </c>
      <c r="AF14" s="9">
        <v>1</v>
      </c>
      <c r="AG14" s="9" t="s">
        <v>117</v>
      </c>
      <c r="AP14" s="21" t="s">
        <v>118</v>
      </c>
      <c r="AQ14" s="21" t="s">
        <v>119</v>
      </c>
      <c r="AR14" s="21" t="s">
        <v>52</v>
      </c>
    </row>
    <row r="15" spans="1:44" ht="15" thickBot="1" x14ac:dyDescent="0.35">
      <c r="E15" s="82"/>
      <c r="J15" s="8"/>
      <c r="U15" s="109" t="s">
        <v>1364</v>
      </c>
      <c r="V15" s="109" t="s">
        <v>244</v>
      </c>
      <c r="W15" s="110" t="b">
        <v>1</v>
      </c>
      <c r="X15" s="109" t="s">
        <v>1365</v>
      </c>
      <c r="Y15" s="110">
        <v>500</v>
      </c>
      <c r="Z15" s="109" t="s">
        <v>1362</v>
      </c>
      <c r="AA15" s="109" t="s">
        <v>64</v>
      </c>
      <c r="AB15" s="109" t="s">
        <v>227</v>
      </c>
      <c r="AF15" s="9">
        <v>2</v>
      </c>
      <c r="AG15" s="9" t="s">
        <v>55</v>
      </c>
      <c r="AP15" s="21" t="s">
        <v>120</v>
      </c>
      <c r="AQ15" s="21" t="s">
        <v>121</v>
      </c>
      <c r="AR15" s="21" t="s">
        <v>63</v>
      </c>
    </row>
    <row r="16" spans="1:44" ht="15" thickBot="1" x14ac:dyDescent="0.35">
      <c r="E16" s="82"/>
      <c r="J16" s="8"/>
      <c r="U16" s="109" t="s">
        <v>246</v>
      </c>
      <c r="V16" s="109" t="s">
        <v>247</v>
      </c>
      <c r="W16" s="110" t="s">
        <v>248</v>
      </c>
      <c r="X16" s="109" t="s">
        <v>1366</v>
      </c>
      <c r="Y16" s="110" t="s">
        <v>248</v>
      </c>
      <c r="Z16" s="109" t="s">
        <v>241</v>
      </c>
      <c r="AA16" s="109" t="s">
        <v>64</v>
      </c>
      <c r="AB16" s="109" t="s">
        <v>227</v>
      </c>
      <c r="AF16" s="9">
        <v>4</v>
      </c>
      <c r="AG16" s="9" t="s">
        <v>74</v>
      </c>
      <c r="AP16" s="21" t="s">
        <v>122</v>
      </c>
      <c r="AQ16" s="21" t="s">
        <v>123</v>
      </c>
      <c r="AR16" s="21" t="s">
        <v>52</v>
      </c>
    </row>
    <row r="17" spans="5:44" ht="15" thickBot="1" x14ac:dyDescent="0.35">
      <c r="E17" s="82"/>
      <c r="J17" s="8"/>
      <c r="U17" s="109" t="s">
        <v>1367</v>
      </c>
      <c r="V17" s="109" t="s">
        <v>1368</v>
      </c>
      <c r="W17" s="110" t="s">
        <v>1369</v>
      </c>
      <c r="X17" s="109" t="s">
        <v>1366</v>
      </c>
      <c r="Y17" s="110" t="s">
        <v>263</v>
      </c>
      <c r="Z17" s="109" t="s">
        <v>241</v>
      </c>
      <c r="AA17" s="109" t="s">
        <v>64</v>
      </c>
      <c r="AB17" s="109" t="s">
        <v>1350</v>
      </c>
      <c r="AF17" s="9">
        <v>8</v>
      </c>
      <c r="AG17" s="9" t="s">
        <v>82</v>
      </c>
      <c r="AP17" s="21" t="s">
        <v>125</v>
      </c>
      <c r="AQ17" s="21" t="s">
        <v>126</v>
      </c>
      <c r="AR17" s="21" t="s">
        <v>63</v>
      </c>
    </row>
    <row r="18" spans="5:44" ht="15" thickBot="1" x14ac:dyDescent="0.35">
      <c r="E18" s="82"/>
      <c r="J18" s="8"/>
      <c r="U18" s="109" t="s">
        <v>1370</v>
      </c>
      <c r="V18" s="109" t="s">
        <v>250</v>
      </c>
      <c r="W18" s="110" t="s">
        <v>251</v>
      </c>
      <c r="X18" s="110" t="s">
        <v>245</v>
      </c>
      <c r="Y18" s="110" t="b">
        <v>0</v>
      </c>
      <c r="Z18" s="109" t="s">
        <v>1371</v>
      </c>
      <c r="AA18" s="109" t="s">
        <v>64</v>
      </c>
      <c r="AB18" s="109" t="s">
        <v>1358</v>
      </c>
      <c r="AF18" s="9">
        <v>16</v>
      </c>
      <c r="AG18" s="9" t="s">
        <v>90</v>
      </c>
      <c r="AP18" s="21" t="s">
        <v>128</v>
      </c>
      <c r="AQ18" s="21" t="s">
        <v>129</v>
      </c>
      <c r="AR18" s="21" t="s">
        <v>52</v>
      </c>
    </row>
    <row r="19" spans="5:44" ht="15" thickBot="1" x14ac:dyDescent="0.35">
      <c r="E19" s="82"/>
      <c r="J19" s="8"/>
      <c r="U19" s="109" t="s">
        <v>364</v>
      </c>
      <c r="V19" s="109" t="s">
        <v>365</v>
      </c>
      <c r="W19" s="110" t="s">
        <v>366</v>
      </c>
      <c r="X19" s="109" t="s">
        <v>249</v>
      </c>
      <c r="Y19" s="110" t="s">
        <v>367</v>
      </c>
      <c r="Z19" s="109" t="s">
        <v>252</v>
      </c>
      <c r="AA19" s="109" t="s">
        <v>64</v>
      </c>
      <c r="AB19" s="109" t="s">
        <v>227</v>
      </c>
      <c r="AF19" s="9">
        <v>24</v>
      </c>
      <c r="AG19" s="9" t="s">
        <v>101</v>
      </c>
      <c r="AP19" s="21" t="s">
        <v>130</v>
      </c>
      <c r="AQ19" s="21" t="s">
        <v>131</v>
      </c>
      <c r="AR19" s="21" t="s">
        <v>63</v>
      </c>
    </row>
    <row r="20" spans="5:44" ht="15" thickBot="1" x14ac:dyDescent="0.35">
      <c r="E20" s="82"/>
      <c r="J20" s="71"/>
      <c r="U20" s="109" t="s">
        <v>253</v>
      </c>
      <c r="V20" s="109" t="s">
        <v>368</v>
      </c>
      <c r="W20" s="110" t="b">
        <v>0</v>
      </c>
      <c r="X20" s="110" t="s">
        <v>243</v>
      </c>
      <c r="Y20" s="110" t="b">
        <v>1</v>
      </c>
      <c r="Z20" s="109" t="s">
        <v>252</v>
      </c>
      <c r="AA20" s="109" t="s">
        <v>64</v>
      </c>
      <c r="AB20" s="109" t="s">
        <v>227</v>
      </c>
      <c r="AF20" s="9">
        <v>31</v>
      </c>
      <c r="AG20" s="9" t="s">
        <v>103</v>
      </c>
      <c r="AP20" s="21" t="s">
        <v>132</v>
      </c>
      <c r="AQ20" s="21" t="s">
        <v>133</v>
      </c>
      <c r="AR20" s="21" t="s">
        <v>86</v>
      </c>
    </row>
    <row r="21" spans="5:44" ht="15" thickBot="1" x14ac:dyDescent="0.35">
      <c r="E21" s="82"/>
      <c r="J21" s="71"/>
      <c r="U21" s="109" t="s">
        <v>87</v>
      </c>
      <c r="V21" s="109" t="s">
        <v>369</v>
      </c>
      <c r="W21" s="110" t="s">
        <v>99</v>
      </c>
      <c r="X21" s="109" t="s">
        <v>249</v>
      </c>
      <c r="Y21" s="110" t="s">
        <v>1346</v>
      </c>
      <c r="Z21" s="109" t="s">
        <v>1371</v>
      </c>
      <c r="AA21" s="109" t="s">
        <v>64</v>
      </c>
      <c r="AB21" s="109" t="s">
        <v>227</v>
      </c>
      <c r="AF21" s="9">
        <v>33</v>
      </c>
      <c r="AG21" s="9" t="s">
        <v>107</v>
      </c>
      <c r="AP21" s="21" t="s">
        <v>134</v>
      </c>
      <c r="AQ21" s="21" t="s">
        <v>135</v>
      </c>
      <c r="AR21" s="21" t="s">
        <v>94</v>
      </c>
    </row>
    <row r="22" spans="5:44" ht="15" thickBot="1" x14ac:dyDescent="0.35">
      <c r="E22" s="82"/>
      <c r="J22" s="23"/>
      <c r="U22" s="109" t="s">
        <v>337</v>
      </c>
      <c r="V22" s="109" t="s">
        <v>1372</v>
      </c>
      <c r="W22" s="110" t="s">
        <v>254</v>
      </c>
      <c r="X22" s="109" t="s">
        <v>1373</v>
      </c>
      <c r="Y22" s="110" t="s">
        <v>1374</v>
      </c>
      <c r="Z22" s="109" t="s">
        <v>255</v>
      </c>
      <c r="AA22" s="109" t="s">
        <v>64</v>
      </c>
      <c r="AB22" s="109" t="s">
        <v>227</v>
      </c>
      <c r="AF22" s="9">
        <v>67</v>
      </c>
      <c r="AG22" s="9" t="s">
        <v>112</v>
      </c>
      <c r="AP22" s="21" t="s">
        <v>136</v>
      </c>
      <c r="AQ22" s="21" t="s">
        <v>137</v>
      </c>
      <c r="AR22" s="21" t="s">
        <v>138</v>
      </c>
    </row>
    <row r="23" spans="5:44" x14ac:dyDescent="0.3">
      <c r="E23" s="82"/>
      <c r="J23" s="8"/>
      <c r="U23" s="109" t="s">
        <v>256</v>
      </c>
      <c r="V23" s="109" t="s">
        <v>1375</v>
      </c>
      <c r="W23" s="109" t="s">
        <v>257</v>
      </c>
      <c r="X23" s="109" t="s">
        <v>1366</v>
      </c>
      <c r="Y23" s="109" t="s">
        <v>1376</v>
      </c>
      <c r="Z23" s="109" t="s">
        <v>252</v>
      </c>
      <c r="AA23" s="109" t="s">
        <v>258</v>
      </c>
      <c r="AB23" s="109" t="s">
        <v>227</v>
      </c>
      <c r="AF23" s="9">
        <v>128</v>
      </c>
      <c r="AG23" s="9" t="s">
        <v>139</v>
      </c>
    </row>
    <row r="24" spans="5:44" x14ac:dyDescent="0.3">
      <c r="E24" s="82"/>
      <c r="J24" s="83"/>
      <c r="U24" s="109" t="s">
        <v>1377</v>
      </c>
      <c r="V24" s="109" t="s">
        <v>1378</v>
      </c>
      <c r="W24" s="110" t="b">
        <v>0</v>
      </c>
      <c r="X24" s="109" t="s">
        <v>1345</v>
      </c>
      <c r="Y24" s="110" t="s">
        <v>110</v>
      </c>
      <c r="Z24" s="109" t="s">
        <v>252</v>
      </c>
      <c r="AA24" s="109" t="s">
        <v>258</v>
      </c>
      <c r="AB24" s="109" t="s">
        <v>1350</v>
      </c>
    </row>
    <row r="25" spans="5:44" x14ac:dyDescent="0.3">
      <c r="J25" s="8"/>
      <c r="U25" s="109" t="s">
        <v>259</v>
      </c>
      <c r="V25" s="109" t="s">
        <v>1379</v>
      </c>
      <c r="W25" s="110">
        <v>2</v>
      </c>
      <c r="X25" s="109" t="s">
        <v>1380</v>
      </c>
      <c r="Y25" s="110">
        <v>2</v>
      </c>
      <c r="Z25" s="109" t="s">
        <v>1371</v>
      </c>
      <c r="AA25" s="109" t="s">
        <v>64</v>
      </c>
      <c r="AB25" s="109" t="s">
        <v>227</v>
      </c>
    </row>
    <row r="26" spans="5:44" x14ac:dyDescent="0.3">
      <c r="J26" s="8"/>
      <c r="U26" s="109" t="s">
        <v>260</v>
      </c>
      <c r="V26" s="109" t="s">
        <v>261</v>
      </c>
      <c r="W26" s="110" t="s">
        <v>262</v>
      </c>
      <c r="X26" s="109" t="s">
        <v>1373</v>
      </c>
      <c r="Y26" s="110" t="s">
        <v>1374</v>
      </c>
      <c r="Z26" s="109" t="s">
        <v>252</v>
      </c>
      <c r="AA26" s="109" t="s">
        <v>64</v>
      </c>
      <c r="AB26" s="109" t="s">
        <v>227</v>
      </c>
    </row>
    <row r="27" spans="5:44" x14ac:dyDescent="0.3">
      <c r="J27" s="37"/>
      <c r="U27" s="109" t="s">
        <v>264</v>
      </c>
      <c r="V27" s="109" t="s">
        <v>1381</v>
      </c>
      <c r="W27" s="111" t="s">
        <v>265</v>
      </c>
      <c r="X27" s="109" t="s">
        <v>249</v>
      </c>
      <c r="Y27" s="110" t="s">
        <v>265</v>
      </c>
      <c r="Z27" s="109" t="s">
        <v>1382</v>
      </c>
      <c r="AA27" s="109" t="s">
        <v>64</v>
      </c>
      <c r="AB27" s="109" t="s">
        <v>1350</v>
      </c>
    </row>
    <row r="28" spans="5:44" ht="15.6" x14ac:dyDescent="0.3">
      <c r="J28" s="84"/>
      <c r="U28" s="109" t="s">
        <v>1383</v>
      </c>
      <c r="V28" s="109" t="s">
        <v>266</v>
      </c>
      <c r="W28" s="111" t="s">
        <v>1384</v>
      </c>
      <c r="X28" s="109" t="s">
        <v>249</v>
      </c>
      <c r="Y28" s="111" t="s">
        <v>267</v>
      </c>
      <c r="Z28" s="112" t="s">
        <v>255</v>
      </c>
      <c r="AA28" s="110" t="s">
        <v>64</v>
      </c>
      <c r="AB28" s="109" t="s">
        <v>227</v>
      </c>
    </row>
    <row r="29" spans="5:44" x14ac:dyDescent="0.3">
      <c r="J29" s="91"/>
      <c r="U29" s="109" t="s">
        <v>268</v>
      </c>
      <c r="V29" s="109" t="s">
        <v>1385</v>
      </c>
      <c r="W29" s="110" t="s">
        <v>124</v>
      </c>
      <c r="X29" s="109" t="s">
        <v>249</v>
      </c>
      <c r="Y29" s="110" t="s">
        <v>1346</v>
      </c>
      <c r="Z29" s="109" t="s">
        <v>270</v>
      </c>
      <c r="AA29" s="109" t="s">
        <v>271</v>
      </c>
      <c r="AB29" s="109" t="s">
        <v>227</v>
      </c>
    </row>
    <row r="30" spans="5:44" ht="15.6" x14ac:dyDescent="0.3">
      <c r="J30" s="84"/>
      <c r="U30" s="109" t="s">
        <v>272</v>
      </c>
      <c r="V30" s="109" t="s">
        <v>127</v>
      </c>
      <c r="W30" s="110" t="s">
        <v>273</v>
      </c>
      <c r="X30" s="109" t="s">
        <v>249</v>
      </c>
      <c r="Y30" s="110" t="s">
        <v>1346</v>
      </c>
      <c r="Z30" s="109" t="s">
        <v>1386</v>
      </c>
      <c r="AA30" s="109" t="s">
        <v>271</v>
      </c>
      <c r="AB30" s="109" t="s">
        <v>1387</v>
      </c>
    </row>
    <row r="31" spans="5:44" ht="15.6" x14ac:dyDescent="0.3">
      <c r="J31" s="84"/>
      <c r="U31" s="109" t="s">
        <v>1388</v>
      </c>
      <c r="V31" s="109" t="s">
        <v>1385</v>
      </c>
      <c r="W31" s="110" t="s">
        <v>274</v>
      </c>
      <c r="X31" s="109" t="s">
        <v>1366</v>
      </c>
      <c r="Y31" s="110" t="s">
        <v>1374</v>
      </c>
      <c r="Z31" s="109" t="s">
        <v>270</v>
      </c>
      <c r="AA31" s="109" t="s">
        <v>271</v>
      </c>
      <c r="AB31" s="109" t="s">
        <v>1350</v>
      </c>
    </row>
    <row r="32" spans="5:44" ht="15.6" x14ac:dyDescent="0.3">
      <c r="J32" s="84"/>
      <c r="U32" s="109" t="s">
        <v>1389</v>
      </c>
      <c r="V32" s="109" t="s">
        <v>269</v>
      </c>
      <c r="W32" s="110">
        <v>5480</v>
      </c>
      <c r="X32" s="109" t="s">
        <v>249</v>
      </c>
      <c r="Y32" s="110" t="s">
        <v>1346</v>
      </c>
      <c r="Z32" s="109" t="s">
        <v>270</v>
      </c>
      <c r="AA32" s="109" t="s">
        <v>1390</v>
      </c>
      <c r="AB32" s="109" t="s">
        <v>1350</v>
      </c>
    </row>
    <row r="33" spans="10:28" ht="15.6" x14ac:dyDescent="0.3">
      <c r="J33" s="84"/>
      <c r="U33" s="109" t="s">
        <v>1391</v>
      </c>
      <c r="V33" s="109" t="s">
        <v>269</v>
      </c>
      <c r="W33" s="110" t="s">
        <v>275</v>
      </c>
      <c r="X33" s="109" t="s">
        <v>1373</v>
      </c>
      <c r="Y33" s="110" t="s">
        <v>1346</v>
      </c>
      <c r="Z33" s="109" t="s">
        <v>270</v>
      </c>
      <c r="AA33" s="109" t="s">
        <v>1392</v>
      </c>
      <c r="AB33" s="109" t="s">
        <v>1350</v>
      </c>
    </row>
    <row r="34" spans="10:28" ht="15.6" x14ac:dyDescent="0.3">
      <c r="J34" s="84"/>
      <c r="U34" s="109" t="s">
        <v>276</v>
      </c>
      <c r="V34" s="109" t="s">
        <v>269</v>
      </c>
      <c r="W34" s="110" t="s">
        <v>277</v>
      </c>
      <c r="X34" s="109" t="s">
        <v>249</v>
      </c>
      <c r="Y34" s="110" t="s">
        <v>1393</v>
      </c>
      <c r="Z34" s="109" t="s">
        <v>270</v>
      </c>
      <c r="AA34" s="109" t="s">
        <v>271</v>
      </c>
      <c r="AB34" s="109" t="s">
        <v>227</v>
      </c>
    </row>
    <row r="35" spans="10:28" x14ac:dyDescent="0.3">
      <c r="U35" s="109" t="s">
        <v>278</v>
      </c>
      <c r="V35" s="109" t="s">
        <v>1385</v>
      </c>
      <c r="W35" s="110">
        <v>100</v>
      </c>
      <c r="X35" s="109" t="s">
        <v>1365</v>
      </c>
      <c r="Y35" s="110" t="s">
        <v>1393</v>
      </c>
      <c r="Z35" s="109" t="s">
        <v>1386</v>
      </c>
      <c r="AA35" s="109" t="s">
        <v>271</v>
      </c>
      <c r="AB35" s="109" t="s">
        <v>1387</v>
      </c>
    </row>
    <row r="36" spans="10:28" x14ac:dyDescent="0.3">
      <c r="U36" s="109" t="s">
        <v>1394</v>
      </c>
      <c r="V36" s="109" t="s">
        <v>269</v>
      </c>
      <c r="W36" s="110">
        <v>120</v>
      </c>
      <c r="X36" s="109" t="s">
        <v>1365</v>
      </c>
      <c r="Y36" s="110" t="s">
        <v>1374</v>
      </c>
      <c r="Z36" s="109" t="s">
        <v>270</v>
      </c>
      <c r="AA36" s="109" t="s">
        <v>271</v>
      </c>
      <c r="AB36" s="109" t="s">
        <v>1350</v>
      </c>
    </row>
    <row r="37" spans="10:28" x14ac:dyDescent="0.3">
      <c r="U37" s="109" t="s">
        <v>1395</v>
      </c>
      <c r="V37" s="109" t="s">
        <v>279</v>
      </c>
      <c r="W37" s="110" t="s">
        <v>280</v>
      </c>
      <c r="X37" s="109" t="s">
        <v>140</v>
      </c>
      <c r="Y37" s="110" t="s">
        <v>1346</v>
      </c>
      <c r="Z37" s="109" t="s">
        <v>270</v>
      </c>
      <c r="AA37" s="109" t="s">
        <v>1396</v>
      </c>
      <c r="AB37" s="109" t="s">
        <v>227</v>
      </c>
    </row>
    <row r="38" spans="10:28" x14ac:dyDescent="0.3">
      <c r="U38" s="110" t="s">
        <v>282</v>
      </c>
      <c r="V38" s="110" t="s">
        <v>283</v>
      </c>
      <c r="W38" s="113" t="b">
        <v>1</v>
      </c>
      <c r="X38" s="113" t="s">
        <v>243</v>
      </c>
      <c r="Y38" s="113" t="b">
        <v>0</v>
      </c>
      <c r="Z38" s="110" t="s">
        <v>1397</v>
      </c>
      <c r="AA38" s="110" t="s">
        <v>64</v>
      </c>
      <c r="AB38" s="110" t="s">
        <v>227</v>
      </c>
    </row>
    <row r="39" spans="10:28" x14ac:dyDescent="0.3">
      <c r="U39" s="109" t="s">
        <v>284</v>
      </c>
      <c r="V39" s="109" t="s">
        <v>1398</v>
      </c>
      <c r="W39" s="110">
        <v>1</v>
      </c>
      <c r="X39" s="109" t="s">
        <v>1399</v>
      </c>
      <c r="Y39" s="110" t="s">
        <v>1400</v>
      </c>
      <c r="Z39" s="109" t="s">
        <v>285</v>
      </c>
      <c r="AA39" s="109" t="s">
        <v>141</v>
      </c>
      <c r="AB39" s="109" t="s">
        <v>1358</v>
      </c>
    </row>
    <row r="40" spans="10:28" x14ac:dyDescent="0.3">
      <c r="U40" s="109" t="s">
        <v>1401</v>
      </c>
      <c r="V40" s="109" t="s">
        <v>1402</v>
      </c>
      <c r="W40" s="110" t="s">
        <v>1403</v>
      </c>
      <c r="X40" s="109" t="s">
        <v>249</v>
      </c>
      <c r="Y40" s="110"/>
      <c r="Z40" s="109" t="s">
        <v>285</v>
      </c>
      <c r="AA40" s="109" t="s">
        <v>141</v>
      </c>
      <c r="AB40" s="109" t="s">
        <v>227</v>
      </c>
    </row>
    <row r="41" spans="10:28" x14ac:dyDescent="0.3">
      <c r="U41" s="109" t="s">
        <v>1404</v>
      </c>
      <c r="V41" s="109" t="s">
        <v>286</v>
      </c>
      <c r="W41" s="110" t="s">
        <v>287</v>
      </c>
      <c r="X41" s="109" t="s">
        <v>1366</v>
      </c>
      <c r="Y41" s="110" t="s">
        <v>1393</v>
      </c>
      <c r="Z41" s="109" t="s">
        <v>285</v>
      </c>
      <c r="AA41" s="109" t="s">
        <v>64</v>
      </c>
      <c r="AB41" s="109" t="s">
        <v>1387</v>
      </c>
    </row>
    <row r="42" spans="10:28" x14ac:dyDescent="0.3">
      <c r="U42" s="109" t="s">
        <v>1405</v>
      </c>
      <c r="V42" s="109" t="s">
        <v>1406</v>
      </c>
      <c r="W42" s="110" t="s">
        <v>1407</v>
      </c>
      <c r="X42" s="109" t="s">
        <v>249</v>
      </c>
      <c r="Y42" s="114" t="s">
        <v>142</v>
      </c>
      <c r="Z42" s="109" t="s">
        <v>1408</v>
      </c>
      <c r="AA42" s="109" t="s">
        <v>64</v>
      </c>
      <c r="AB42" s="109" t="s">
        <v>288</v>
      </c>
    </row>
    <row r="43" spans="10:28" x14ac:dyDescent="0.3">
      <c r="U43" s="109" t="s">
        <v>338</v>
      </c>
      <c r="V43" s="109" t="s">
        <v>370</v>
      </c>
      <c r="W43" s="110" t="s">
        <v>371</v>
      </c>
      <c r="X43" s="109" t="s">
        <v>249</v>
      </c>
      <c r="Y43" s="114" t="s">
        <v>371</v>
      </c>
      <c r="Z43" s="109" t="s">
        <v>285</v>
      </c>
      <c r="AA43" s="115" t="s">
        <v>143</v>
      </c>
      <c r="AB43" s="109" t="s">
        <v>1350</v>
      </c>
    </row>
    <row r="44" spans="10:28" x14ac:dyDescent="0.3">
      <c r="U44" s="109" t="s">
        <v>1409</v>
      </c>
      <c r="V44" s="116" t="s">
        <v>1410</v>
      </c>
      <c r="W44" s="117" t="s">
        <v>1411</v>
      </c>
      <c r="X44" s="116" t="s">
        <v>1412</v>
      </c>
      <c r="Y44" s="118" t="s">
        <v>1413</v>
      </c>
      <c r="Z44" s="109" t="s">
        <v>1414</v>
      </c>
      <c r="AA44" s="115" t="s">
        <v>143</v>
      </c>
      <c r="AB44" s="109" t="s">
        <v>1350</v>
      </c>
    </row>
    <row r="45" spans="10:28" x14ac:dyDescent="0.3">
      <c r="U45" s="109" t="s">
        <v>372</v>
      </c>
      <c r="V45" s="109" t="s">
        <v>1415</v>
      </c>
      <c r="W45" s="110" t="s">
        <v>328</v>
      </c>
      <c r="X45" s="109" t="s">
        <v>1416</v>
      </c>
      <c r="Y45" s="110" t="s">
        <v>328</v>
      </c>
      <c r="Z45" s="109" t="s">
        <v>1414</v>
      </c>
      <c r="AA45" s="109" t="s">
        <v>1417</v>
      </c>
      <c r="AB45" s="109" t="s">
        <v>227</v>
      </c>
    </row>
    <row r="46" spans="10:28" x14ac:dyDescent="0.3">
      <c r="U46" s="109" t="s">
        <v>1418</v>
      </c>
      <c r="V46" s="109" t="s">
        <v>1419</v>
      </c>
      <c r="W46" s="110" t="s">
        <v>46</v>
      </c>
      <c r="X46" s="109" t="s">
        <v>1420</v>
      </c>
      <c r="Y46" s="110">
        <v>1</v>
      </c>
      <c r="Z46" s="109" t="s">
        <v>285</v>
      </c>
      <c r="AA46" s="109" t="s">
        <v>64</v>
      </c>
      <c r="AB46" s="109" t="s">
        <v>1421</v>
      </c>
    </row>
    <row r="47" spans="10:28" x14ac:dyDescent="0.3">
      <c r="U47" s="119" t="s">
        <v>1422</v>
      </c>
      <c r="V47" s="119" t="s">
        <v>1423</v>
      </c>
      <c r="W47" s="110" t="b">
        <v>1</v>
      </c>
      <c r="X47" s="109" t="s">
        <v>1424</v>
      </c>
      <c r="Y47" s="110" t="b">
        <v>1</v>
      </c>
      <c r="Z47" s="112" t="s">
        <v>1425</v>
      </c>
      <c r="AA47" s="115" t="s">
        <v>143</v>
      </c>
      <c r="AB47" s="109" t="s">
        <v>1350</v>
      </c>
    </row>
    <row r="48" spans="10:28" x14ac:dyDescent="0.3">
      <c r="U48" s="119" t="s">
        <v>1426</v>
      </c>
      <c r="V48" s="119" t="s">
        <v>1427</v>
      </c>
      <c r="W48" s="110" t="s">
        <v>1428</v>
      </c>
      <c r="X48" s="109" t="s">
        <v>1366</v>
      </c>
      <c r="Y48" s="110" t="s">
        <v>289</v>
      </c>
      <c r="Z48" s="112" t="s">
        <v>1429</v>
      </c>
      <c r="AA48" s="115" t="s">
        <v>143</v>
      </c>
      <c r="AB48" s="109" t="s">
        <v>1430</v>
      </c>
    </row>
    <row r="49" spans="21:28" x14ac:dyDescent="0.3">
      <c r="U49" s="119" t="s">
        <v>1431</v>
      </c>
      <c r="V49" s="119" t="s">
        <v>1432</v>
      </c>
      <c r="W49" s="110" t="b">
        <v>1</v>
      </c>
      <c r="X49" s="109" t="s">
        <v>1424</v>
      </c>
      <c r="Y49" s="110" t="b">
        <v>1</v>
      </c>
      <c r="Z49" s="112" t="s">
        <v>255</v>
      </c>
      <c r="AA49" s="115" t="s">
        <v>143</v>
      </c>
      <c r="AB49" s="109" t="s">
        <v>1350</v>
      </c>
    </row>
    <row r="50" spans="21:28" x14ac:dyDescent="0.3">
      <c r="U50" s="119" t="s">
        <v>1433</v>
      </c>
      <c r="V50" s="119" t="s">
        <v>1434</v>
      </c>
      <c r="W50" s="110" t="b">
        <v>1</v>
      </c>
      <c r="X50" s="109" t="s">
        <v>1416</v>
      </c>
      <c r="Y50" s="110" t="s">
        <v>1435</v>
      </c>
      <c r="Z50" s="112" t="s">
        <v>1425</v>
      </c>
      <c r="AA50" s="115" t="s">
        <v>143</v>
      </c>
      <c r="AB50" s="109" t="s">
        <v>227</v>
      </c>
    </row>
    <row r="51" spans="21:28" x14ac:dyDescent="0.3">
      <c r="U51" s="119" t="s">
        <v>1436</v>
      </c>
      <c r="V51" s="109" t="s">
        <v>291</v>
      </c>
      <c r="W51" s="110" t="b">
        <v>1</v>
      </c>
      <c r="X51" s="109" t="s">
        <v>1437</v>
      </c>
      <c r="Y51" s="110" t="b">
        <v>1</v>
      </c>
      <c r="Z51" s="112" t="s">
        <v>1425</v>
      </c>
      <c r="AA51" s="115" t="s">
        <v>143</v>
      </c>
      <c r="AB51" s="109" t="s">
        <v>1350</v>
      </c>
    </row>
    <row r="52" spans="21:28" x14ac:dyDescent="0.3">
      <c r="U52" s="109" t="s">
        <v>373</v>
      </c>
      <c r="V52" s="109" t="s">
        <v>1438</v>
      </c>
      <c r="W52" s="110" t="b">
        <v>0</v>
      </c>
      <c r="X52" s="109" t="s">
        <v>1439</v>
      </c>
      <c r="Y52" s="110" t="b">
        <v>0</v>
      </c>
      <c r="Z52" s="112" t="s">
        <v>1440</v>
      </c>
      <c r="AA52" s="115" t="s">
        <v>143</v>
      </c>
      <c r="AB52" s="109" t="s">
        <v>1421</v>
      </c>
    </row>
    <row r="53" spans="21:28" x14ac:dyDescent="0.3">
      <c r="U53" s="119" t="s">
        <v>292</v>
      </c>
      <c r="V53" s="119" t="s">
        <v>1441</v>
      </c>
      <c r="W53" s="110" t="s">
        <v>144</v>
      </c>
      <c r="X53" s="119" t="s">
        <v>1416</v>
      </c>
      <c r="Y53" s="110" t="s">
        <v>144</v>
      </c>
      <c r="Z53" s="112" t="s">
        <v>1429</v>
      </c>
      <c r="AA53" s="115" t="s">
        <v>145</v>
      </c>
      <c r="AB53" s="109" t="s">
        <v>1421</v>
      </c>
    </row>
    <row r="54" spans="21:28" x14ac:dyDescent="0.3">
      <c r="U54" s="119" t="s">
        <v>1442</v>
      </c>
      <c r="V54" s="119" t="s">
        <v>1443</v>
      </c>
      <c r="W54" s="110">
        <v>10</v>
      </c>
      <c r="X54" s="119" t="s">
        <v>1444</v>
      </c>
      <c r="Y54" s="110">
        <v>11</v>
      </c>
      <c r="Z54" s="112" t="s">
        <v>1425</v>
      </c>
      <c r="AA54" s="115" t="s">
        <v>64</v>
      </c>
      <c r="AB54" s="109" t="s">
        <v>1421</v>
      </c>
    </row>
    <row r="55" spans="21:28" x14ac:dyDescent="0.3">
      <c r="U55" s="119" t="s">
        <v>1445</v>
      </c>
      <c r="V55" s="119" t="s">
        <v>1446</v>
      </c>
      <c r="W55" s="110">
        <v>28</v>
      </c>
      <c r="X55" s="119" t="s">
        <v>1365</v>
      </c>
      <c r="Y55" s="110">
        <v>0</v>
      </c>
      <c r="Z55" s="112" t="s">
        <v>1429</v>
      </c>
      <c r="AA55" s="115" t="s">
        <v>64</v>
      </c>
      <c r="AB55" s="109" t="s">
        <v>1421</v>
      </c>
    </row>
    <row r="56" spans="21:28" x14ac:dyDescent="0.3">
      <c r="U56" s="119" t="s">
        <v>1447</v>
      </c>
      <c r="V56" s="119" t="s">
        <v>1448</v>
      </c>
      <c r="W56" s="110" t="s">
        <v>1449</v>
      </c>
      <c r="X56" s="119" t="s">
        <v>1444</v>
      </c>
      <c r="Y56" s="110">
        <v>0</v>
      </c>
      <c r="Z56" s="112" t="s">
        <v>255</v>
      </c>
      <c r="AA56" s="115" t="s">
        <v>64</v>
      </c>
      <c r="AB56" s="109" t="s">
        <v>1421</v>
      </c>
    </row>
    <row r="57" spans="21:28" x14ac:dyDescent="0.3">
      <c r="U57" s="109" t="s">
        <v>1450</v>
      </c>
      <c r="V57" s="109" t="s">
        <v>1451</v>
      </c>
      <c r="W57" s="110" t="s">
        <v>1452</v>
      </c>
      <c r="X57" s="109" t="s">
        <v>1366</v>
      </c>
      <c r="Y57" s="110" t="s">
        <v>1453</v>
      </c>
      <c r="Z57" s="109" t="s">
        <v>255</v>
      </c>
      <c r="AA57" s="115" t="s">
        <v>143</v>
      </c>
      <c r="AB57" s="109" t="s">
        <v>1421</v>
      </c>
    </row>
    <row r="58" spans="21:28" x14ac:dyDescent="0.3">
      <c r="U58" s="109" t="s">
        <v>1454</v>
      </c>
      <c r="V58" s="109" t="s">
        <v>1455</v>
      </c>
      <c r="W58" s="110" t="s">
        <v>1456</v>
      </c>
      <c r="X58" s="109" t="s">
        <v>1416</v>
      </c>
      <c r="Y58" s="110" t="s">
        <v>1453</v>
      </c>
      <c r="Z58" s="109" t="s">
        <v>1440</v>
      </c>
      <c r="AA58" s="115" t="s">
        <v>143</v>
      </c>
      <c r="AB58" s="109" t="s">
        <v>1350</v>
      </c>
    </row>
    <row r="59" spans="21:28" x14ac:dyDescent="0.3">
      <c r="U59" s="119" t="s">
        <v>1457</v>
      </c>
      <c r="V59" s="119" t="s">
        <v>1458</v>
      </c>
      <c r="W59" s="110" t="s">
        <v>1459</v>
      </c>
      <c r="X59" s="109" t="s">
        <v>1416</v>
      </c>
      <c r="Y59" s="110" t="s">
        <v>1460</v>
      </c>
      <c r="Z59" s="112" t="s">
        <v>1440</v>
      </c>
      <c r="AA59" s="115" t="s">
        <v>143</v>
      </c>
      <c r="AB59" s="109" t="s">
        <v>227</v>
      </c>
    </row>
    <row r="60" spans="21:28" x14ac:dyDescent="0.3">
      <c r="U60" s="119" t="s">
        <v>1461</v>
      </c>
      <c r="V60" s="119" t="s">
        <v>1462</v>
      </c>
      <c r="W60" s="110" t="s">
        <v>1463</v>
      </c>
      <c r="X60" s="109" t="s">
        <v>1464</v>
      </c>
      <c r="Y60" s="110" t="s">
        <v>1465</v>
      </c>
      <c r="Z60" s="112" t="s">
        <v>255</v>
      </c>
      <c r="AA60" s="115" t="s">
        <v>143</v>
      </c>
      <c r="AB60" s="109" t="s">
        <v>227</v>
      </c>
    </row>
    <row r="61" spans="21:28" x14ac:dyDescent="0.3">
      <c r="U61" s="119" t="s">
        <v>147</v>
      </c>
      <c r="V61" s="119" t="s">
        <v>1466</v>
      </c>
      <c r="W61" s="110" t="s">
        <v>146</v>
      </c>
      <c r="X61" s="109" t="s">
        <v>249</v>
      </c>
      <c r="Y61" s="110" t="s">
        <v>224</v>
      </c>
      <c r="Z61" s="112" t="s">
        <v>1425</v>
      </c>
      <c r="AA61" s="115" t="s">
        <v>143</v>
      </c>
      <c r="AB61" s="109" t="s">
        <v>1421</v>
      </c>
    </row>
    <row r="62" spans="21:28" x14ac:dyDescent="0.3">
      <c r="U62" s="119" t="s">
        <v>1467</v>
      </c>
      <c r="V62" s="120" t="s">
        <v>1468</v>
      </c>
      <c r="W62" s="121" t="s">
        <v>1469</v>
      </c>
      <c r="X62" s="109" t="s">
        <v>1416</v>
      </c>
      <c r="Y62" s="121" t="s">
        <v>1470</v>
      </c>
      <c r="Z62" s="112" t="s">
        <v>1471</v>
      </c>
      <c r="AA62" s="115" t="s">
        <v>143</v>
      </c>
      <c r="AB62" s="109" t="s">
        <v>227</v>
      </c>
    </row>
    <row r="63" spans="21:28" x14ac:dyDescent="0.3">
      <c r="U63" s="119" t="s">
        <v>1472</v>
      </c>
      <c r="V63" s="120" t="s">
        <v>1473</v>
      </c>
      <c r="W63" s="121" t="s">
        <v>1474</v>
      </c>
      <c r="X63" s="109" t="s">
        <v>1464</v>
      </c>
      <c r="Y63" s="121" t="s">
        <v>1470</v>
      </c>
      <c r="Z63" s="112" t="s">
        <v>1429</v>
      </c>
      <c r="AA63" s="115" t="s">
        <v>143</v>
      </c>
      <c r="AB63" s="109" t="s">
        <v>1387</v>
      </c>
    </row>
    <row r="64" spans="21:28" x14ac:dyDescent="0.3">
      <c r="U64" s="119" t="s">
        <v>1475</v>
      </c>
      <c r="V64" s="120" t="s">
        <v>1476</v>
      </c>
      <c r="W64" s="121" t="s">
        <v>1477</v>
      </c>
      <c r="X64" s="109" t="s">
        <v>1416</v>
      </c>
      <c r="Y64" s="121" t="s">
        <v>1470</v>
      </c>
      <c r="Z64" s="112" t="s">
        <v>1425</v>
      </c>
      <c r="AA64" s="115" t="s">
        <v>143</v>
      </c>
      <c r="AB64" s="109" t="s">
        <v>227</v>
      </c>
    </row>
    <row r="65" spans="21:28" x14ac:dyDescent="0.3">
      <c r="U65" s="119" t="s">
        <v>1478</v>
      </c>
      <c r="V65" s="120" t="s">
        <v>1479</v>
      </c>
      <c r="W65" s="121" t="s">
        <v>1480</v>
      </c>
      <c r="X65" s="109" t="s">
        <v>1464</v>
      </c>
      <c r="Y65" s="121" t="s">
        <v>1374</v>
      </c>
      <c r="Z65" s="112" t="s">
        <v>1440</v>
      </c>
      <c r="AA65" s="115" t="s">
        <v>143</v>
      </c>
      <c r="AB65" s="109" t="s">
        <v>1350</v>
      </c>
    </row>
    <row r="66" spans="21:28" x14ac:dyDescent="0.3">
      <c r="U66" s="119" t="s">
        <v>1481</v>
      </c>
      <c r="V66" s="120" t="s">
        <v>1482</v>
      </c>
      <c r="W66" s="121" t="s">
        <v>1483</v>
      </c>
      <c r="X66" s="109" t="s">
        <v>1416</v>
      </c>
      <c r="Y66" s="121" t="s">
        <v>1470</v>
      </c>
      <c r="Z66" s="112" t="s">
        <v>1425</v>
      </c>
      <c r="AA66" s="115" t="s">
        <v>143</v>
      </c>
      <c r="AB66" s="109" t="s">
        <v>1421</v>
      </c>
    </row>
    <row r="67" spans="21:28" x14ac:dyDescent="0.3">
      <c r="U67" s="109" t="s">
        <v>1484</v>
      </c>
      <c r="V67" s="109" t="s">
        <v>1485</v>
      </c>
      <c r="W67" s="110" t="s">
        <v>1486</v>
      </c>
      <c r="X67" s="109" t="s">
        <v>1365</v>
      </c>
      <c r="Y67" s="110" t="s">
        <v>1487</v>
      </c>
      <c r="Z67" s="112" t="s">
        <v>255</v>
      </c>
      <c r="AA67" s="115" t="s">
        <v>143</v>
      </c>
      <c r="AB67" s="109" t="s">
        <v>1387</v>
      </c>
    </row>
    <row r="68" spans="21:28" x14ac:dyDescent="0.3">
      <c r="U68" s="109" t="s">
        <v>1488</v>
      </c>
      <c r="V68" s="109" t="s">
        <v>1489</v>
      </c>
      <c r="W68" s="110" t="s">
        <v>329</v>
      </c>
      <c r="X68" s="109" t="s">
        <v>1416</v>
      </c>
      <c r="Y68" s="110" t="s">
        <v>1490</v>
      </c>
      <c r="Z68" s="112" t="s">
        <v>1471</v>
      </c>
      <c r="AA68" s="115" t="s">
        <v>143</v>
      </c>
      <c r="AB68" s="109" t="s">
        <v>1358</v>
      </c>
    </row>
    <row r="69" spans="21:28" x14ac:dyDescent="0.3">
      <c r="U69" s="109" t="s">
        <v>1491</v>
      </c>
      <c r="V69" s="109" t="s">
        <v>1492</v>
      </c>
      <c r="W69" s="110" t="s">
        <v>293</v>
      </c>
      <c r="X69" s="109" t="s">
        <v>1366</v>
      </c>
      <c r="Y69" s="110" t="s">
        <v>1493</v>
      </c>
      <c r="Z69" s="112" t="s">
        <v>255</v>
      </c>
      <c r="AA69" s="115" t="s">
        <v>143</v>
      </c>
      <c r="AB69" s="109" t="s">
        <v>1350</v>
      </c>
    </row>
    <row r="70" spans="21:28" x14ac:dyDescent="0.3">
      <c r="U70" s="109" t="s">
        <v>225</v>
      </c>
      <c r="V70" s="109" t="s">
        <v>1494</v>
      </c>
      <c r="W70" s="110" t="s">
        <v>293</v>
      </c>
      <c r="X70" s="109" t="s">
        <v>249</v>
      </c>
      <c r="Y70" s="110" t="s">
        <v>1495</v>
      </c>
      <c r="Z70" s="112" t="s">
        <v>1440</v>
      </c>
      <c r="AA70" s="115" t="s">
        <v>143</v>
      </c>
      <c r="AB70" s="109" t="s">
        <v>1350</v>
      </c>
    </row>
    <row r="71" spans="21:28" x14ac:dyDescent="0.3">
      <c r="U71" s="109" t="s">
        <v>1496</v>
      </c>
      <c r="V71" s="109" t="s">
        <v>1497</v>
      </c>
      <c r="W71" s="110" t="s">
        <v>374</v>
      </c>
      <c r="X71" s="109" t="s">
        <v>1464</v>
      </c>
      <c r="Y71" s="110" t="s">
        <v>1498</v>
      </c>
      <c r="Z71" s="112" t="s">
        <v>1425</v>
      </c>
      <c r="AA71" s="115" t="s">
        <v>143</v>
      </c>
      <c r="AB71" s="109" t="s">
        <v>227</v>
      </c>
    </row>
    <row r="72" spans="21:28" x14ac:dyDescent="0.3">
      <c r="U72" s="109" t="s">
        <v>375</v>
      </c>
      <c r="V72" s="109" t="s">
        <v>1499</v>
      </c>
      <c r="W72" s="110" t="s">
        <v>376</v>
      </c>
      <c r="X72" s="109" t="s">
        <v>1416</v>
      </c>
      <c r="Y72" s="110" t="s">
        <v>330</v>
      </c>
      <c r="Z72" s="112" t="s">
        <v>1440</v>
      </c>
      <c r="AA72" s="115" t="s">
        <v>143</v>
      </c>
      <c r="AB72" s="109" t="s">
        <v>1350</v>
      </c>
    </row>
    <row r="73" spans="21:28" x14ac:dyDescent="0.3">
      <c r="U73" s="109" t="s">
        <v>1500</v>
      </c>
      <c r="V73" s="109" t="s">
        <v>1501</v>
      </c>
      <c r="W73" s="110" t="s">
        <v>1502</v>
      </c>
      <c r="X73" s="109" t="s">
        <v>1366</v>
      </c>
      <c r="Y73" s="110" t="s">
        <v>1503</v>
      </c>
      <c r="Z73" s="112" t="s">
        <v>1440</v>
      </c>
      <c r="AA73" s="115" t="s">
        <v>143</v>
      </c>
      <c r="AB73" s="109" t="s">
        <v>227</v>
      </c>
    </row>
    <row r="74" spans="21:28" x14ac:dyDescent="0.3">
      <c r="U74" s="109" t="s">
        <v>1504</v>
      </c>
      <c r="V74" s="109" t="s">
        <v>1505</v>
      </c>
      <c r="W74" s="110" t="s">
        <v>1506</v>
      </c>
      <c r="X74" s="109" t="s">
        <v>1464</v>
      </c>
      <c r="Y74" s="110" t="s">
        <v>1507</v>
      </c>
      <c r="Z74" s="112" t="s">
        <v>1425</v>
      </c>
      <c r="AA74" s="115" t="s">
        <v>143</v>
      </c>
      <c r="AB74" s="109" t="s">
        <v>227</v>
      </c>
    </row>
    <row r="75" spans="21:28" x14ac:dyDescent="0.3">
      <c r="U75" s="122" t="s">
        <v>1508</v>
      </c>
      <c r="V75" s="109" t="s">
        <v>1509</v>
      </c>
      <c r="W75" s="110" t="s">
        <v>1510</v>
      </c>
      <c r="X75" s="109" t="s">
        <v>1416</v>
      </c>
      <c r="Y75" s="110" t="s">
        <v>344</v>
      </c>
      <c r="Z75" s="109" t="s">
        <v>1414</v>
      </c>
      <c r="AA75" s="115" t="s">
        <v>143</v>
      </c>
      <c r="AB75" s="109" t="s">
        <v>227</v>
      </c>
    </row>
    <row r="76" spans="21:28" x14ac:dyDescent="0.3">
      <c r="U76" s="109" t="s">
        <v>1511</v>
      </c>
      <c r="V76" s="109" t="s">
        <v>1512</v>
      </c>
      <c r="W76" s="110" t="s">
        <v>1513</v>
      </c>
      <c r="X76" s="109" t="s">
        <v>249</v>
      </c>
      <c r="Y76" s="110" t="s">
        <v>1514</v>
      </c>
      <c r="Z76" s="109" t="s">
        <v>1515</v>
      </c>
      <c r="AA76" s="115" t="s">
        <v>143</v>
      </c>
      <c r="AB76" s="109" t="s">
        <v>1350</v>
      </c>
    </row>
    <row r="77" spans="21:28" x14ac:dyDescent="0.3">
      <c r="U77" s="109" t="s">
        <v>1516</v>
      </c>
      <c r="V77" s="109" t="s">
        <v>377</v>
      </c>
      <c r="W77" s="110" t="s">
        <v>47</v>
      </c>
      <c r="X77" s="109" t="s">
        <v>1517</v>
      </c>
      <c r="Y77" s="110" t="s">
        <v>47</v>
      </c>
      <c r="Z77" s="109" t="s">
        <v>1440</v>
      </c>
      <c r="AA77" s="115" t="s">
        <v>143</v>
      </c>
      <c r="AB77" s="109" t="s">
        <v>1421</v>
      </c>
    </row>
    <row r="78" spans="21:28" x14ac:dyDescent="0.3">
      <c r="U78" s="109" t="s">
        <v>1518</v>
      </c>
      <c r="V78" s="109" t="s">
        <v>378</v>
      </c>
      <c r="W78" s="110" t="s">
        <v>48</v>
      </c>
      <c r="X78" s="109" t="s">
        <v>294</v>
      </c>
      <c r="Y78" s="110" t="s">
        <v>48</v>
      </c>
      <c r="Z78" s="109" t="s">
        <v>1440</v>
      </c>
      <c r="AA78" s="115" t="s">
        <v>143</v>
      </c>
      <c r="AB78" s="109" t="s">
        <v>1350</v>
      </c>
    </row>
    <row r="79" spans="21:28" x14ac:dyDescent="0.3">
      <c r="U79" s="109" t="s">
        <v>1519</v>
      </c>
      <c r="V79" s="109" t="s">
        <v>379</v>
      </c>
      <c r="W79" s="110" t="s">
        <v>380</v>
      </c>
      <c r="X79" s="109" t="s">
        <v>1366</v>
      </c>
      <c r="Y79" s="110" t="s">
        <v>1520</v>
      </c>
      <c r="Z79" s="109" t="s">
        <v>1425</v>
      </c>
      <c r="AA79" s="115" t="s">
        <v>143</v>
      </c>
      <c r="AB79" s="109" t="s">
        <v>1387</v>
      </c>
    </row>
    <row r="80" spans="21:28" x14ac:dyDescent="0.3">
      <c r="U80" s="109" t="s">
        <v>1521</v>
      </c>
      <c r="V80" s="109" t="s">
        <v>1522</v>
      </c>
      <c r="W80" s="110" t="b">
        <v>0</v>
      </c>
      <c r="X80" s="109" t="s">
        <v>1437</v>
      </c>
      <c r="Y80" s="110" t="b">
        <v>0</v>
      </c>
      <c r="Z80" s="109" t="s">
        <v>255</v>
      </c>
      <c r="AA80" s="109" t="s">
        <v>1523</v>
      </c>
      <c r="AB80" s="109" t="s">
        <v>1421</v>
      </c>
    </row>
    <row r="81" spans="21:28" x14ac:dyDescent="0.3">
      <c r="U81" s="109" t="s">
        <v>1524</v>
      </c>
      <c r="V81" s="109" t="s">
        <v>1525</v>
      </c>
      <c r="W81" s="110" t="s">
        <v>381</v>
      </c>
      <c r="X81" s="109" t="s">
        <v>1365</v>
      </c>
      <c r="Y81" s="110">
        <v>0</v>
      </c>
      <c r="Z81" s="109" t="s">
        <v>1440</v>
      </c>
      <c r="AA81" s="109" t="s">
        <v>271</v>
      </c>
      <c r="AB81" s="109" t="s">
        <v>1421</v>
      </c>
    </row>
    <row r="82" spans="21:28" x14ac:dyDescent="0.3">
      <c r="U82" s="109" t="s">
        <v>1526</v>
      </c>
      <c r="V82" s="109" t="s">
        <v>1527</v>
      </c>
      <c r="W82" s="110" t="s">
        <v>1528</v>
      </c>
      <c r="X82" s="109" t="s">
        <v>1416</v>
      </c>
      <c r="Y82" s="110" t="s">
        <v>1529</v>
      </c>
      <c r="Z82" s="109" t="s">
        <v>1440</v>
      </c>
      <c r="AA82" s="115" t="s">
        <v>143</v>
      </c>
      <c r="AB82" s="109" t="s">
        <v>227</v>
      </c>
    </row>
    <row r="83" spans="21:28" x14ac:dyDescent="0.3">
      <c r="U83" s="109" t="s">
        <v>1530</v>
      </c>
      <c r="V83" s="109" t="s">
        <v>1531</v>
      </c>
      <c r="W83" s="110" t="s">
        <v>1532</v>
      </c>
      <c r="X83" s="109" t="s">
        <v>1416</v>
      </c>
      <c r="Y83" s="110" t="s">
        <v>295</v>
      </c>
      <c r="Z83" s="109" t="s">
        <v>1429</v>
      </c>
      <c r="AA83" s="109" t="s">
        <v>1392</v>
      </c>
      <c r="AB83" s="109" t="s">
        <v>1350</v>
      </c>
    </row>
    <row r="84" spans="21:28" x14ac:dyDescent="0.3">
      <c r="U84" s="109" t="s">
        <v>1533</v>
      </c>
      <c r="V84" s="109" t="s">
        <v>1534</v>
      </c>
      <c r="W84" s="110" t="s">
        <v>1535</v>
      </c>
      <c r="X84" s="109" t="s">
        <v>1366</v>
      </c>
      <c r="Y84" s="110" t="s">
        <v>1536</v>
      </c>
      <c r="Z84" s="109" t="s">
        <v>1429</v>
      </c>
      <c r="AA84" s="109" t="s">
        <v>1417</v>
      </c>
      <c r="AB84" s="109" t="s">
        <v>1421</v>
      </c>
    </row>
    <row r="85" spans="21:28" x14ac:dyDescent="0.3">
      <c r="U85" s="109" t="s">
        <v>322</v>
      </c>
      <c r="V85" s="109" t="s">
        <v>1537</v>
      </c>
      <c r="W85" s="110" t="s">
        <v>1538</v>
      </c>
      <c r="X85" s="109" t="s">
        <v>1416</v>
      </c>
      <c r="Y85" s="110" t="s">
        <v>1539</v>
      </c>
      <c r="Z85" s="112" t="s">
        <v>1440</v>
      </c>
      <c r="AA85" s="115" t="s">
        <v>143</v>
      </c>
      <c r="AB85" s="109" t="s">
        <v>227</v>
      </c>
    </row>
    <row r="86" spans="21:28" x14ac:dyDescent="0.3">
      <c r="U86" s="109" t="s">
        <v>323</v>
      </c>
      <c r="V86" s="109" t="s">
        <v>1540</v>
      </c>
      <c r="W86" s="110" t="b">
        <v>1</v>
      </c>
      <c r="X86" s="109" t="s">
        <v>1424</v>
      </c>
      <c r="Y86" s="110" t="b">
        <v>1</v>
      </c>
      <c r="Z86" s="109" t="s">
        <v>1440</v>
      </c>
      <c r="AA86" s="109" t="s">
        <v>145</v>
      </c>
      <c r="AB86" s="109" t="s">
        <v>227</v>
      </c>
    </row>
    <row r="87" spans="21:28" x14ac:dyDescent="0.3">
      <c r="U87" s="109" t="s">
        <v>324</v>
      </c>
      <c r="V87" s="109" t="s">
        <v>1541</v>
      </c>
      <c r="W87" s="110" t="s">
        <v>1542</v>
      </c>
      <c r="X87" s="109" t="s">
        <v>1366</v>
      </c>
      <c r="Y87" s="110" t="s">
        <v>1543</v>
      </c>
      <c r="Z87" s="109" t="s">
        <v>148</v>
      </c>
      <c r="AA87" s="109" t="s">
        <v>145</v>
      </c>
      <c r="AB87" s="109" t="s">
        <v>149</v>
      </c>
    </row>
    <row r="88" spans="21:28" x14ac:dyDescent="0.3">
      <c r="U88" s="109" t="s">
        <v>1544</v>
      </c>
      <c r="V88" s="109" t="s">
        <v>1545</v>
      </c>
      <c r="W88" s="110" t="s">
        <v>1546</v>
      </c>
      <c r="X88" s="109" t="s">
        <v>1416</v>
      </c>
      <c r="Y88" s="110" t="s">
        <v>325</v>
      </c>
      <c r="Z88" s="109" t="s">
        <v>148</v>
      </c>
      <c r="AA88" s="109" t="s">
        <v>145</v>
      </c>
      <c r="AB88" s="109" t="s">
        <v>149</v>
      </c>
    </row>
    <row r="89" spans="21:28" x14ac:dyDescent="0.3">
      <c r="U89" s="109" t="s">
        <v>1547</v>
      </c>
      <c r="V89" s="109" t="s">
        <v>296</v>
      </c>
      <c r="W89" s="110" t="b">
        <v>0</v>
      </c>
      <c r="X89" s="109" t="s">
        <v>1439</v>
      </c>
      <c r="Y89" s="110" t="b">
        <v>0</v>
      </c>
      <c r="Z89" s="109" t="s">
        <v>148</v>
      </c>
      <c r="AA89" s="109" t="s">
        <v>145</v>
      </c>
      <c r="AB89" s="109" t="s">
        <v>149</v>
      </c>
    </row>
    <row r="90" spans="21:28" x14ac:dyDescent="0.3">
      <c r="U90" s="109" t="s">
        <v>1548</v>
      </c>
      <c r="V90" s="109" t="s">
        <v>1549</v>
      </c>
      <c r="W90" s="110" t="s">
        <v>1550</v>
      </c>
      <c r="X90" s="109" t="s">
        <v>1416</v>
      </c>
      <c r="Y90" s="110" t="s">
        <v>1551</v>
      </c>
      <c r="Z90" s="109" t="s">
        <v>148</v>
      </c>
      <c r="AA90" s="109" t="s">
        <v>145</v>
      </c>
      <c r="AB90" s="109" t="s">
        <v>149</v>
      </c>
    </row>
    <row r="91" spans="21:28" x14ac:dyDescent="0.3">
      <c r="U91" s="109" t="s">
        <v>1552</v>
      </c>
      <c r="V91" s="109" t="s">
        <v>297</v>
      </c>
      <c r="W91" s="110" t="b">
        <v>0</v>
      </c>
      <c r="X91" s="109" t="s">
        <v>243</v>
      </c>
      <c r="Y91" s="110" t="b">
        <v>0</v>
      </c>
      <c r="Z91" s="109" t="s">
        <v>1425</v>
      </c>
      <c r="AA91" s="109" t="s">
        <v>145</v>
      </c>
      <c r="AB91" s="109" t="s">
        <v>1553</v>
      </c>
    </row>
    <row r="92" spans="21:28" x14ac:dyDescent="0.3">
      <c r="U92" s="109" t="s">
        <v>1554</v>
      </c>
      <c r="V92" s="109" t="s">
        <v>1555</v>
      </c>
      <c r="W92" s="110" t="b">
        <v>0</v>
      </c>
      <c r="X92" s="109" t="s">
        <v>1556</v>
      </c>
      <c r="Y92" s="110" t="b">
        <v>0</v>
      </c>
      <c r="Z92" s="109" t="s">
        <v>1440</v>
      </c>
      <c r="AA92" s="115" t="s">
        <v>143</v>
      </c>
      <c r="AB92" s="109" t="s">
        <v>1553</v>
      </c>
    </row>
    <row r="93" spans="21:28" x14ac:dyDescent="0.3">
      <c r="U93" s="109" t="s">
        <v>382</v>
      </c>
      <c r="V93" s="109" t="s">
        <v>1557</v>
      </c>
      <c r="W93" s="110" t="s">
        <v>298</v>
      </c>
      <c r="X93" s="109" t="s">
        <v>1365</v>
      </c>
      <c r="Y93" s="110">
        <v>3</v>
      </c>
      <c r="Z93" s="109" t="s">
        <v>1429</v>
      </c>
      <c r="AA93" s="115" t="s">
        <v>143</v>
      </c>
      <c r="AB93" s="109" t="s">
        <v>1350</v>
      </c>
    </row>
    <row r="94" spans="21:28" x14ac:dyDescent="0.3">
      <c r="U94" s="109" t="s">
        <v>1558</v>
      </c>
      <c r="V94" s="109" t="s">
        <v>1559</v>
      </c>
      <c r="W94" s="110" t="s">
        <v>1560</v>
      </c>
      <c r="X94" s="109" t="s">
        <v>1365</v>
      </c>
      <c r="Y94" s="110">
        <v>2</v>
      </c>
      <c r="Z94" s="109" t="s">
        <v>255</v>
      </c>
      <c r="AA94" s="115" t="s">
        <v>143</v>
      </c>
      <c r="AB94" s="109" t="s">
        <v>1421</v>
      </c>
    </row>
    <row r="95" spans="21:28" x14ac:dyDescent="0.3">
      <c r="U95" s="109" t="s">
        <v>1561</v>
      </c>
      <c r="V95" s="109" t="s">
        <v>1562</v>
      </c>
      <c r="W95" s="110" t="s">
        <v>299</v>
      </c>
      <c r="X95" s="109" t="s">
        <v>1416</v>
      </c>
      <c r="Y95" s="110" t="s">
        <v>299</v>
      </c>
      <c r="Z95" s="109" t="s">
        <v>1429</v>
      </c>
      <c r="AA95" s="109" t="s">
        <v>145</v>
      </c>
      <c r="AB95" s="109" t="s">
        <v>1387</v>
      </c>
    </row>
    <row r="96" spans="21:28" x14ac:dyDescent="0.3">
      <c r="U96" s="109" t="s">
        <v>383</v>
      </c>
      <c r="V96" s="109" t="s">
        <v>384</v>
      </c>
      <c r="W96" s="110" t="s">
        <v>1563</v>
      </c>
      <c r="X96" s="109" t="s">
        <v>1366</v>
      </c>
      <c r="Y96" s="110" t="s">
        <v>1564</v>
      </c>
      <c r="Z96" s="109" t="s">
        <v>1425</v>
      </c>
      <c r="AA96" s="109" t="s">
        <v>145</v>
      </c>
      <c r="AB96" s="109" t="s">
        <v>1350</v>
      </c>
    </row>
    <row r="97" spans="21:28" x14ac:dyDescent="0.3">
      <c r="U97" s="109" t="s">
        <v>1565</v>
      </c>
      <c r="V97" s="109" t="s">
        <v>1566</v>
      </c>
      <c r="W97" s="110" t="s">
        <v>1567</v>
      </c>
      <c r="X97" s="109" t="s">
        <v>1416</v>
      </c>
      <c r="Y97" s="110">
        <v>0</v>
      </c>
      <c r="Z97" s="109" t="s">
        <v>1440</v>
      </c>
      <c r="AA97" s="109" t="s">
        <v>145</v>
      </c>
      <c r="AB97" s="109" t="s">
        <v>227</v>
      </c>
    </row>
    <row r="98" spans="21:28" x14ac:dyDescent="0.3">
      <c r="U98" s="109" t="s">
        <v>1568</v>
      </c>
      <c r="V98" s="109" t="s">
        <v>1569</v>
      </c>
      <c r="W98" s="109" t="s">
        <v>1570</v>
      </c>
      <c r="X98" s="109" t="s">
        <v>249</v>
      </c>
      <c r="Y98" s="109" t="s">
        <v>1571</v>
      </c>
      <c r="Z98" s="109" t="s">
        <v>1425</v>
      </c>
      <c r="AA98" s="109" t="s">
        <v>145</v>
      </c>
      <c r="AB98" s="109" t="s">
        <v>1421</v>
      </c>
    </row>
    <row r="99" spans="21:28" x14ac:dyDescent="0.3">
      <c r="U99" s="109" t="s">
        <v>1572</v>
      </c>
      <c r="V99" s="109" t="s">
        <v>1573</v>
      </c>
      <c r="W99" s="109" t="s">
        <v>1574</v>
      </c>
      <c r="X99" s="109" t="s">
        <v>249</v>
      </c>
      <c r="Y99" s="109" t="s">
        <v>1435</v>
      </c>
      <c r="Z99" s="109" t="s">
        <v>1429</v>
      </c>
      <c r="AA99" s="109" t="s">
        <v>145</v>
      </c>
      <c r="AB99" s="109" t="s">
        <v>1421</v>
      </c>
    </row>
    <row r="100" spans="21:28" x14ac:dyDescent="0.3">
      <c r="U100" s="109" t="s">
        <v>1575</v>
      </c>
      <c r="V100" s="109" t="s">
        <v>1576</v>
      </c>
      <c r="W100" s="110" t="b">
        <v>0</v>
      </c>
      <c r="X100" s="109" t="s">
        <v>1424</v>
      </c>
      <c r="Y100" s="110" t="b">
        <v>0</v>
      </c>
      <c r="Z100" s="109" t="s">
        <v>1429</v>
      </c>
      <c r="AA100" s="115" t="s">
        <v>143</v>
      </c>
      <c r="AB100" s="109" t="s">
        <v>1387</v>
      </c>
    </row>
    <row r="101" spans="21:28" x14ac:dyDescent="0.3">
      <c r="U101" s="109" t="s">
        <v>385</v>
      </c>
      <c r="V101" s="109" t="s">
        <v>1577</v>
      </c>
      <c r="W101" s="110" t="s">
        <v>1578</v>
      </c>
      <c r="X101" s="109" t="s">
        <v>249</v>
      </c>
      <c r="Y101" s="110" t="s">
        <v>1579</v>
      </c>
      <c r="Z101" s="109" t="s">
        <v>1425</v>
      </c>
      <c r="AA101" s="115" t="s">
        <v>143</v>
      </c>
      <c r="AB101" s="109" t="s">
        <v>1387</v>
      </c>
    </row>
    <row r="102" spans="21:28" x14ac:dyDescent="0.3">
      <c r="U102" s="109" t="s">
        <v>1580</v>
      </c>
      <c r="V102" s="109" t="s">
        <v>300</v>
      </c>
      <c r="W102" s="110" t="s">
        <v>301</v>
      </c>
      <c r="X102" s="109" t="s">
        <v>1416</v>
      </c>
      <c r="Y102" s="110" t="s">
        <v>1581</v>
      </c>
      <c r="Z102" s="109" t="s">
        <v>255</v>
      </c>
      <c r="AA102" s="115" t="s">
        <v>143</v>
      </c>
      <c r="AB102" s="109" t="s">
        <v>1358</v>
      </c>
    </row>
    <row r="103" spans="21:28" x14ac:dyDescent="0.3">
      <c r="U103" s="109" t="s">
        <v>1582</v>
      </c>
      <c r="V103" s="109" t="s">
        <v>1583</v>
      </c>
      <c r="W103" s="110" t="s">
        <v>302</v>
      </c>
      <c r="X103" s="109" t="s">
        <v>1416</v>
      </c>
      <c r="Y103" s="110" t="s">
        <v>1584</v>
      </c>
      <c r="Z103" s="109" t="s">
        <v>255</v>
      </c>
      <c r="AA103" s="115" t="s">
        <v>143</v>
      </c>
      <c r="AB103" s="109" t="s">
        <v>1421</v>
      </c>
    </row>
    <row r="104" spans="21:28" x14ac:dyDescent="0.3">
      <c r="U104" s="109" t="s">
        <v>303</v>
      </c>
      <c r="V104" s="109" t="s">
        <v>304</v>
      </c>
      <c r="W104" s="110" t="s">
        <v>298</v>
      </c>
      <c r="X104" s="109" t="s">
        <v>1585</v>
      </c>
      <c r="Y104" s="110">
        <v>2</v>
      </c>
      <c r="Z104" s="109" t="s">
        <v>1425</v>
      </c>
      <c r="AA104" s="109" t="s">
        <v>64</v>
      </c>
      <c r="AB104" s="109" t="s">
        <v>1421</v>
      </c>
    </row>
    <row r="105" spans="21:28" x14ac:dyDescent="0.3">
      <c r="U105" s="109" t="s">
        <v>305</v>
      </c>
      <c r="V105" s="109" t="s">
        <v>1586</v>
      </c>
      <c r="W105" s="110" t="s">
        <v>1587</v>
      </c>
      <c r="X105" s="109" t="s">
        <v>1416</v>
      </c>
      <c r="Y105" s="110" t="s">
        <v>150</v>
      </c>
      <c r="Z105" s="109" t="s">
        <v>1425</v>
      </c>
      <c r="AA105" s="109" t="s">
        <v>64</v>
      </c>
      <c r="AB105" s="109" t="s">
        <v>1421</v>
      </c>
    </row>
    <row r="106" spans="21:28" x14ac:dyDescent="0.3">
      <c r="U106" s="109" t="s">
        <v>1588</v>
      </c>
      <c r="V106" s="109" t="s">
        <v>1589</v>
      </c>
      <c r="W106" s="110" t="b">
        <v>0</v>
      </c>
      <c r="X106" s="109" t="s">
        <v>1424</v>
      </c>
      <c r="Y106" s="110" t="b">
        <v>0</v>
      </c>
      <c r="Z106" s="109" t="s">
        <v>255</v>
      </c>
      <c r="AA106" s="109" t="s">
        <v>64</v>
      </c>
      <c r="AB106" s="109" t="s">
        <v>227</v>
      </c>
    </row>
    <row r="107" spans="21:28" ht="28.8" x14ac:dyDescent="0.3">
      <c r="U107" s="109" t="s">
        <v>1590</v>
      </c>
      <c r="V107" s="109" t="s">
        <v>1591</v>
      </c>
      <c r="W107" s="123" t="s">
        <v>1592</v>
      </c>
      <c r="X107" s="109" t="s">
        <v>1416</v>
      </c>
      <c r="Y107" s="110" t="s">
        <v>1470</v>
      </c>
      <c r="Z107" s="109" t="s">
        <v>255</v>
      </c>
      <c r="AA107" s="109" t="s">
        <v>64</v>
      </c>
      <c r="AB107" s="109" t="s">
        <v>227</v>
      </c>
    </row>
    <row r="108" spans="21:28" ht="28.8" x14ac:dyDescent="0.3">
      <c r="U108" s="109" t="s">
        <v>1593</v>
      </c>
      <c r="V108" s="109" t="s">
        <v>1594</v>
      </c>
      <c r="W108" s="123" t="s">
        <v>1595</v>
      </c>
      <c r="X108" s="109" t="s">
        <v>1416</v>
      </c>
      <c r="Y108" s="123" t="s">
        <v>1596</v>
      </c>
      <c r="Z108" s="109" t="s">
        <v>255</v>
      </c>
      <c r="AA108" s="109" t="s">
        <v>64</v>
      </c>
      <c r="AB108" s="109" t="s">
        <v>227</v>
      </c>
    </row>
    <row r="109" spans="21:28" ht="28.8" x14ac:dyDescent="0.3">
      <c r="U109" s="109" t="s">
        <v>1597</v>
      </c>
      <c r="V109" s="109" t="s">
        <v>1598</v>
      </c>
      <c r="W109" s="123" t="s">
        <v>1599</v>
      </c>
      <c r="X109" s="109" t="s">
        <v>1416</v>
      </c>
      <c r="Y109" s="110" t="s">
        <v>1470</v>
      </c>
      <c r="Z109" s="109" t="s">
        <v>1425</v>
      </c>
      <c r="AA109" s="109" t="s">
        <v>64</v>
      </c>
      <c r="AB109" s="109" t="s">
        <v>1421</v>
      </c>
    </row>
    <row r="110" spans="21:28" x14ac:dyDescent="0.3">
      <c r="U110" s="122" t="s">
        <v>1600</v>
      </c>
      <c r="V110" s="109" t="s">
        <v>1601</v>
      </c>
      <c r="W110" s="123" t="s">
        <v>1602</v>
      </c>
      <c r="X110" s="109" t="s">
        <v>1416</v>
      </c>
      <c r="Y110" s="110" t="s">
        <v>1470</v>
      </c>
      <c r="Z110" s="109" t="s">
        <v>1603</v>
      </c>
      <c r="AA110" s="109" t="s">
        <v>64</v>
      </c>
      <c r="AB110" s="109" t="s">
        <v>1358</v>
      </c>
    </row>
    <row r="111" spans="21:28" x14ac:dyDescent="0.3">
      <c r="U111" s="124" t="s">
        <v>1604</v>
      </c>
      <c r="V111" s="109" t="s">
        <v>1605</v>
      </c>
      <c r="W111" s="125" t="s">
        <v>1606</v>
      </c>
      <c r="X111" s="109" t="s">
        <v>1416</v>
      </c>
      <c r="Y111" s="110" t="s">
        <v>1470</v>
      </c>
      <c r="Z111" s="109" t="s">
        <v>1607</v>
      </c>
      <c r="AA111" s="115" t="s">
        <v>143</v>
      </c>
      <c r="AB111" s="109" t="s">
        <v>1421</v>
      </c>
    </row>
    <row r="112" spans="21:28" x14ac:dyDescent="0.3">
      <c r="U112" s="122" t="s">
        <v>1608</v>
      </c>
      <c r="V112" s="109" t="s">
        <v>1609</v>
      </c>
      <c r="W112" s="123" t="s">
        <v>1610</v>
      </c>
      <c r="X112" s="109" t="s">
        <v>1416</v>
      </c>
      <c r="Y112" s="110" t="s">
        <v>1346</v>
      </c>
      <c r="Z112" s="109" t="s">
        <v>1611</v>
      </c>
      <c r="AA112" s="109" t="s">
        <v>64</v>
      </c>
      <c r="AB112" s="109" t="s">
        <v>1421</v>
      </c>
    </row>
    <row r="113" spans="21:28" x14ac:dyDescent="0.3">
      <c r="U113" s="109" t="s">
        <v>1612</v>
      </c>
      <c r="V113" s="109" t="s">
        <v>1613</v>
      </c>
      <c r="W113" s="110" t="b">
        <v>1</v>
      </c>
      <c r="X113" s="109" t="s">
        <v>249</v>
      </c>
      <c r="Y113" s="126" t="s">
        <v>1614</v>
      </c>
      <c r="Z113" s="109" t="s">
        <v>1607</v>
      </c>
      <c r="AA113" s="109" t="s">
        <v>145</v>
      </c>
      <c r="AB113" s="109" t="s">
        <v>149</v>
      </c>
    </row>
    <row r="114" spans="21:28" x14ac:dyDescent="0.3">
      <c r="U114" s="109" t="s">
        <v>1615</v>
      </c>
      <c r="V114" s="109" t="s">
        <v>1616</v>
      </c>
      <c r="W114" s="110" t="s">
        <v>386</v>
      </c>
      <c r="X114" s="109" t="s">
        <v>1416</v>
      </c>
      <c r="Y114" s="126" t="s">
        <v>1617</v>
      </c>
      <c r="Z114" s="109" t="s">
        <v>148</v>
      </c>
      <c r="AA114" s="109" t="s">
        <v>145</v>
      </c>
      <c r="AB114" s="109" t="s">
        <v>149</v>
      </c>
    </row>
    <row r="115" spans="21:28" x14ac:dyDescent="0.3">
      <c r="U115" s="109" t="s">
        <v>315</v>
      </c>
      <c r="V115" s="109" t="s">
        <v>387</v>
      </c>
      <c r="W115" s="110" t="s">
        <v>1618</v>
      </c>
      <c r="X115" s="109" t="s">
        <v>1416</v>
      </c>
      <c r="Y115" s="126" t="s">
        <v>1619</v>
      </c>
      <c r="Z115" s="109" t="s">
        <v>148</v>
      </c>
      <c r="AA115" s="109" t="s">
        <v>145</v>
      </c>
      <c r="AB115" s="109" t="s">
        <v>149</v>
      </c>
    </row>
    <row r="116" spans="21:28" x14ac:dyDescent="0.3">
      <c r="U116" s="109" t="s">
        <v>316</v>
      </c>
      <c r="V116" s="109" t="s">
        <v>388</v>
      </c>
      <c r="W116" s="110" t="s">
        <v>1618</v>
      </c>
      <c r="X116" s="109" t="s">
        <v>1416</v>
      </c>
      <c r="Y116" s="110" t="s">
        <v>1470</v>
      </c>
      <c r="Z116" s="109" t="s">
        <v>148</v>
      </c>
      <c r="AA116" s="109" t="s">
        <v>145</v>
      </c>
      <c r="AB116" s="109" t="s">
        <v>149</v>
      </c>
    </row>
    <row r="117" spans="21:28" x14ac:dyDescent="0.3">
      <c r="U117" s="109" t="s">
        <v>331</v>
      </c>
      <c r="V117" s="109" t="s">
        <v>1620</v>
      </c>
      <c r="W117" s="110" t="s">
        <v>332</v>
      </c>
      <c r="X117" s="109" t="s">
        <v>1416</v>
      </c>
      <c r="Y117" s="110" t="s">
        <v>332</v>
      </c>
      <c r="Z117" s="109" t="s">
        <v>148</v>
      </c>
      <c r="AA117" s="109" t="s">
        <v>145</v>
      </c>
      <c r="AB117" s="109" t="s">
        <v>149</v>
      </c>
    </row>
    <row r="118" spans="21:28" x14ac:dyDescent="0.3">
      <c r="U118" s="109" t="s">
        <v>1621</v>
      </c>
      <c r="V118" s="120" t="s">
        <v>1622</v>
      </c>
      <c r="W118" s="127" t="s">
        <v>1623</v>
      </c>
      <c r="X118" s="120" t="s">
        <v>1373</v>
      </c>
      <c r="Y118" s="127"/>
      <c r="Z118" s="120" t="s">
        <v>1425</v>
      </c>
      <c r="AA118" s="120" t="s">
        <v>1624</v>
      </c>
      <c r="AB118" s="128" t="s">
        <v>1421</v>
      </c>
    </row>
    <row r="119" spans="21:28" x14ac:dyDescent="0.3">
      <c r="U119" s="109" t="s">
        <v>1625</v>
      </c>
      <c r="V119" s="120" t="s">
        <v>1626</v>
      </c>
      <c r="W119" s="127" t="s">
        <v>1627</v>
      </c>
      <c r="X119" s="120" t="s">
        <v>1416</v>
      </c>
      <c r="Y119" s="127" t="s">
        <v>1470</v>
      </c>
      <c r="Z119" s="120" t="s">
        <v>255</v>
      </c>
      <c r="AA119" s="120" t="s">
        <v>1624</v>
      </c>
      <c r="AB119" s="128" t="s">
        <v>1358</v>
      </c>
    </row>
    <row r="120" spans="21:28" x14ac:dyDescent="0.3">
      <c r="U120" s="109" t="s">
        <v>354</v>
      </c>
      <c r="V120" s="109" t="s">
        <v>1628</v>
      </c>
      <c r="W120" s="110" t="b">
        <v>0</v>
      </c>
      <c r="X120" s="109" t="s">
        <v>1424</v>
      </c>
      <c r="Y120" s="126" t="b">
        <v>1</v>
      </c>
      <c r="Z120" s="109" t="s">
        <v>148</v>
      </c>
      <c r="AA120" s="109" t="s">
        <v>145</v>
      </c>
      <c r="AB120" s="109" t="s">
        <v>149</v>
      </c>
    </row>
    <row r="121" spans="21:28" x14ac:dyDescent="0.3">
      <c r="U121" s="109" t="s">
        <v>1629</v>
      </c>
      <c r="V121" s="109" t="s">
        <v>1630</v>
      </c>
      <c r="W121" s="110" t="b">
        <v>0</v>
      </c>
      <c r="X121" s="109" t="s">
        <v>243</v>
      </c>
      <c r="Y121" s="126" t="b">
        <v>0</v>
      </c>
      <c r="Z121" s="109" t="s">
        <v>148</v>
      </c>
      <c r="AA121" s="109" t="s">
        <v>145</v>
      </c>
      <c r="AB121" s="109" t="s">
        <v>149</v>
      </c>
    </row>
    <row r="122" spans="21:28" x14ac:dyDescent="0.3">
      <c r="U122" s="109" t="s">
        <v>1631</v>
      </c>
      <c r="V122" s="109" t="s">
        <v>1632</v>
      </c>
      <c r="W122" s="110" t="b">
        <v>0</v>
      </c>
      <c r="X122" s="109" t="s">
        <v>1424</v>
      </c>
      <c r="Y122" s="126" t="b">
        <v>1</v>
      </c>
      <c r="Z122" s="109" t="s">
        <v>148</v>
      </c>
      <c r="AA122" s="109" t="s">
        <v>145</v>
      </c>
      <c r="AB122" s="109" t="s">
        <v>149</v>
      </c>
    </row>
    <row r="123" spans="21:28" x14ac:dyDescent="0.3">
      <c r="U123" s="109" t="s">
        <v>1633</v>
      </c>
      <c r="V123" s="109" t="s">
        <v>1634</v>
      </c>
      <c r="W123" s="110" t="s">
        <v>1635</v>
      </c>
      <c r="X123" s="109" t="s">
        <v>1444</v>
      </c>
      <c r="Y123" s="126">
        <v>1</v>
      </c>
      <c r="Z123" s="109" t="s">
        <v>148</v>
      </c>
      <c r="AA123" s="109" t="s">
        <v>145</v>
      </c>
      <c r="AB123" s="109" t="s">
        <v>149</v>
      </c>
    </row>
    <row r="124" spans="21:28" x14ac:dyDescent="0.3">
      <c r="U124" s="109" t="s">
        <v>1636</v>
      </c>
      <c r="V124" s="109" t="s">
        <v>1637</v>
      </c>
      <c r="W124" s="110" t="s">
        <v>1638</v>
      </c>
      <c r="X124" s="109" t="s">
        <v>140</v>
      </c>
      <c r="Y124" s="126" t="s">
        <v>1639</v>
      </c>
      <c r="Z124" s="109" t="s">
        <v>148</v>
      </c>
      <c r="AA124" s="109" t="s">
        <v>145</v>
      </c>
      <c r="AB124" s="109" t="s">
        <v>149</v>
      </c>
    </row>
    <row r="125" spans="21:28" x14ac:dyDescent="0.3">
      <c r="U125" s="109" t="s">
        <v>1640</v>
      </c>
      <c r="V125" s="109" t="s">
        <v>1641</v>
      </c>
      <c r="W125" s="110" t="s">
        <v>1642</v>
      </c>
      <c r="X125" s="109" t="s">
        <v>140</v>
      </c>
      <c r="Y125" s="126" t="s">
        <v>1346</v>
      </c>
      <c r="Z125" s="109" t="s">
        <v>148</v>
      </c>
      <c r="AA125" s="109" t="s">
        <v>145</v>
      </c>
      <c r="AB125" s="109" t="s">
        <v>149</v>
      </c>
    </row>
    <row r="126" spans="21:28" x14ac:dyDescent="0.3">
      <c r="U126" s="109" t="s">
        <v>1643</v>
      </c>
      <c r="V126" s="109" t="s">
        <v>1644</v>
      </c>
      <c r="W126" s="110" t="s">
        <v>1645</v>
      </c>
      <c r="X126" s="109" t="s">
        <v>140</v>
      </c>
      <c r="Y126" s="110" t="s">
        <v>1646</v>
      </c>
      <c r="Z126" s="109" t="s">
        <v>1647</v>
      </c>
      <c r="AA126" s="109" t="s">
        <v>281</v>
      </c>
      <c r="AB126" s="109" t="s">
        <v>227</v>
      </c>
    </row>
    <row r="127" spans="21:28" x14ac:dyDescent="0.3">
      <c r="U127" s="109" t="s">
        <v>1648</v>
      </c>
      <c r="V127" s="109" t="s">
        <v>1649</v>
      </c>
      <c r="W127" s="110" t="s">
        <v>1650</v>
      </c>
      <c r="X127" s="109" t="s">
        <v>140</v>
      </c>
      <c r="Y127" s="110" t="s">
        <v>1650</v>
      </c>
      <c r="Z127" s="109" t="s">
        <v>1647</v>
      </c>
      <c r="AA127" s="109" t="s">
        <v>1651</v>
      </c>
      <c r="AB127" s="109" t="s">
        <v>1421</v>
      </c>
    </row>
    <row r="128" spans="21:28" x14ac:dyDescent="0.3">
      <c r="U128" s="109" t="s">
        <v>1652</v>
      </c>
      <c r="V128" s="109" t="s">
        <v>389</v>
      </c>
      <c r="W128" s="110" t="s">
        <v>355</v>
      </c>
      <c r="X128" s="109" t="s">
        <v>140</v>
      </c>
      <c r="Y128" s="110" t="s">
        <v>355</v>
      </c>
      <c r="Z128" s="109" t="s">
        <v>1647</v>
      </c>
      <c r="AA128" s="109" t="s">
        <v>1651</v>
      </c>
      <c r="AB128" s="109" t="s">
        <v>1421</v>
      </c>
    </row>
    <row r="129" spans="21:28" x14ac:dyDescent="0.3">
      <c r="U129" s="109" t="s">
        <v>1653</v>
      </c>
      <c r="V129" s="109" t="s">
        <v>1654</v>
      </c>
      <c r="W129" s="110" t="s">
        <v>356</v>
      </c>
      <c r="X129" s="109" t="s">
        <v>140</v>
      </c>
      <c r="Y129" s="110" t="s">
        <v>356</v>
      </c>
      <c r="Z129" s="109" t="s">
        <v>1647</v>
      </c>
      <c r="AA129" s="109" t="s">
        <v>1655</v>
      </c>
      <c r="AB129" s="109" t="s">
        <v>1421</v>
      </c>
    </row>
    <row r="130" spans="21:28" x14ac:dyDescent="0.3">
      <c r="U130" s="109" t="s">
        <v>1656</v>
      </c>
      <c r="V130" s="116" t="s">
        <v>1657</v>
      </c>
      <c r="W130" s="121" t="s">
        <v>1658</v>
      </c>
      <c r="X130" s="109" t="s">
        <v>140</v>
      </c>
      <c r="Y130" s="127" t="s">
        <v>1346</v>
      </c>
      <c r="Z130" s="109" t="s">
        <v>1647</v>
      </c>
      <c r="AA130" s="109" t="s">
        <v>1651</v>
      </c>
      <c r="AB130" s="109" t="s">
        <v>1358</v>
      </c>
    </row>
    <row r="131" spans="21:28" x14ac:dyDescent="0.3">
      <c r="U131" s="109" t="s">
        <v>1659</v>
      </c>
      <c r="V131" s="116" t="s">
        <v>1660</v>
      </c>
      <c r="W131" s="121" t="s">
        <v>1661</v>
      </c>
      <c r="X131" s="109" t="s">
        <v>140</v>
      </c>
      <c r="Y131" s="127" t="s">
        <v>1470</v>
      </c>
      <c r="Z131" s="109" t="s">
        <v>1647</v>
      </c>
      <c r="AA131" s="109" t="s">
        <v>1651</v>
      </c>
      <c r="AB131" s="109" t="s">
        <v>1421</v>
      </c>
    </row>
    <row r="132" spans="21:28" x14ac:dyDescent="0.3">
      <c r="U132" s="109" t="s">
        <v>1662</v>
      </c>
      <c r="V132" s="109" t="s">
        <v>1663</v>
      </c>
      <c r="W132" s="129" t="s">
        <v>1664</v>
      </c>
      <c r="X132" s="109" t="s">
        <v>140</v>
      </c>
      <c r="Y132" s="127" t="s">
        <v>1470</v>
      </c>
      <c r="Z132" s="109" t="s">
        <v>1647</v>
      </c>
      <c r="AA132" s="109" t="s">
        <v>281</v>
      </c>
      <c r="AB132" s="109" t="s">
        <v>1421</v>
      </c>
    </row>
    <row r="133" spans="21:28" x14ac:dyDescent="0.3">
      <c r="U133" s="109" t="s">
        <v>1665</v>
      </c>
      <c r="V133" s="109" t="s">
        <v>1666</v>
      </c>
      <c r="W133" s="129" t="s">
        <v>1667</v>
      </c>
      <c r="X133" s="109" t="s">
        <v>140</v>
      </c>
      <c r="Y133" s="127" t="s">
        <v>1470</v>
      </c>
      <c r="Z133" s="109" t="s">
        <v>311</v>
      </c>
      <c r="AA133" s="109" t="s">
        <v>1651</v>
      </c>
      <c r="AB133" s="109" t="s">
        <v>1421</v>
      </c>
    </row>
    <row r="134" spans="21:28" x14ac:dyDescent="0.3">
      <c r="U134" s="109" t="s">
        <v>1668</v>
      </c>
      <c r="V134" s="109" t="s">
        <v>1669</v>
      </c>
      <c r="W134" s="129" t="s">
        <v>1667</v>
      </c>
      <c r="X134" s="109" t="s">
        <v>140</v>
      </c>
      <c r="Y134" s="127" t="s">
        <v>1470</v>
      </c>
      <c r="Z134" s="109" t="s">
        <v>1647</v>
      </c>
      <c r="AA134" s="109" t="s">
        <v>1651</v>
      </c>
      <c r="AB134" s="109" t="s">
        <v>1421</v>
      </c>
    </row>
    <row r="135" spans="21:28" x14ac:dyDescent="0.3">
      <c r="U135" s="109" t="s">
        <v>1670</v>
      </c>
      <c r="V135" s="116" t="s">
        <v>1671</v>
      </c>
      <c r="W135" s="121" t="s">
        <v>1672</v>
      </c>
      <c r="X135" s="109" t="s">
        <v>140</v>
      </c>
      <c r="Y135" s="127"/>
      <c r="Z135" s="109" t="s">
        <v>311</v>
      </c>
      <c r="AA135" s="109" t="s">
        <v>1651</v>
      </c>
      <c r="AB135" s="109" t="s">
        <v>227</v>
      </c>
    </row>
    <row r="136" spans="21:28" x14ac:dyDescent="0.3">
      <c r="U136" s="109" t="s">
        <v>1673</v>
      </c>
      <c r="V136" s="116" t="s">
        <v>1674</v>
      </c>
      <c r="W136" s="121" t="s">
        <v>1675</v>
      </c>
      <c r="X136" s="109" t="s">
        <v>140</v>
      </c>
      <c r="Y136" s="127"/>
      <c r="Z136" s="109" t="s">
        <v>311</v>
      </c>
      <c r="AA136" s="109" t="s">
        <v>1651</v>
      </c>
      <c r="AB136" s="109" t="s">
        <v>1421</v>
      </c>
    </row>
    <row r="137" spans="21:28" x14ac:dyDescent="0.3">
      <c r="U137" s="109" t="s">
        <v>1676</v>
      </c>
      <c r="V137" s="130" t="s">
        <v>1677</v>
      </c>
      <c r="W137" s="113" t="s">
        <v>1678</v>
      </c>
      <c r="X137" s="131" t="s">
        <v>1679</v>
      </c>
      <c r="Y137" s="113" t="s">
        <v>1680</v>
      </c>
      <c r="Z137" s="132"/>
      <c r="AA137" s="133"/>
      <c r="AB137" s="130"/>
    </row>
    <row r="138" spans="21:28" x14ac:dyDescent="0.3">
      <c r="U138" s="109" t="s">
        <v>1681</v>
      </c>
      <c r="V138" s="109" t="s">
        <v>1682</v>
      </c>
      <c r="W138" s="110" t="s">
        <v>1683</v>
      </c>
      <c r="X138" s="109" t="s">
        <v>1416</v>
      </c>
      <c r="Y138" s="110" t="s">
        <v>1684</v>
      </c>
      <c r="Z138" s="109" t="s">
        <v>1647</v>
      </c>
      <c r="AA138" s="115" t="s">
        <v>143</v>
      </c>
      <c r="AB138" s="109" t="s">
        <v>1421</v>
      </c>
    </row>
    <row r="139" spans="21:28" x14ac:dyDescent="0.3">
      <c r="U139" s="109" t="s">
        <v>317</v>
      </c>
      <c r="V139" s="109" t="s">
        <v>1685</v>
      </c>
      <c r="W139" s="110" t="s">
        <v>1686</v>
      </c>
      <c r="X139" s="109" t="s">
        <v>140</v>
      </c>
      <c r="Y139" s="110" t="s">
        <v>333</v>
      </c>
      <c r="Z139" s="109" t="s">
        <v>1647</v>
      </c>
      <c r="AA139" s="109" t="s">
        <v>1651</v>
      </c>
      <c r="AB139" s="109" t="s">
        <v>1358</v>
      </c>
    </row>
    <row r="140" spans="21:28" x14ac:dyDescent="0.3">
      <c r="U140" s="109" t="s">
        <v>318</v>
      </c>
      <c r="V140" s="109" t="s">
        <v>1687</v>
      </c>
      <c r="W140" s="110" t="s">
        <v>1688</v>
      </c>
      <c r="X140" s="109" t="s">
        <v>140</v>
      </c>
      <c r="Y140" s="110" t="s">
        <v>334</v>
      </c>
      <c r="Z140" s="109" t="s">
        <v>1689</v>
      </c>
      <c r="AA140" s="109" t="s">
        <v>281</v>
      </c>
      <c r="AB140" s="109" t="s">
        <v>1358</v>
      </c>
    </row>
    <row r="141" spans="21:28" x14ac:dyDescent="0.3">
      <c r="U141" s="109" t="s">
        <v>390</v>
      </c>
      <c r="V141" s="109" t="s">
        <v>1690</v>
      </c>
      <c r="W141" s="110" t="s">
        <v>1691</v>
      </c>
      <c r="X141" s="109" t="s">
        <v>140</v>
      </c>
      <c r="Y141" s="110" t="s">
        <v>335</v>
      </c>
      <c r="Z141" s="109" t="s">
        <v>1647</v>
      </c>
      <c r="AA141" s="109" t="s">
        <v>1651</v>
      </c>
      <c r="AB141" s="109" t="s">
        <v>1421</v>
      </c>
    </row>
    <row r="142" spans="21:28" x14ac:dyDescent="0.3">
      <c r="U142" s="109" t="s">
        <v>1692</v>
      </c>
      <c r="V142" s="109" t="s">
        <v>1693</v>
      </c>
      <c r="W142" s="110" t="s">
        <v>319</v>
      </c>
      <c r="X142" s="109" t="s">
        <v>140</v>
      </c>
      <c r="Y142" s="110" t="s">
        <v>335</v>
      </c>
      <c r="Z142" s="109" t="s">
        <v>1647</v>
      </c>
      <c r="AA142" s="109" t="s">
        <v>1651</v>
      </c>
      <c r="AB142" s="109" t="s">
        <v>1421</v>
      </c>
    </row>
    <row r="143" spans="21:28" x14ac:dyDescent="0.3">
      <c r="U143" s="109" t="s">
        <v>1694</v>
      </c>
      <c r="V143" s="109" t="s">
        <v>1695</v>
      </c>
      <c r="W143" s="111" t="s">
        <v>1696</v>
      </c>
      <c r="X143" s="109" t="s">
        <v>140</v>
      </c>
      <c r="Y143" s="110" t="s">
        <v>1346</v>
      </c>
      <c r="Z143" s="109" t="s">
        <v>1647</v>
      </c>
      <c r="AA143" s="109" t="s">
        <v>1651</v>
      </c>
      <c r="AB143" s="109" t="s">
        <v>1421</v>
      </c>
    </row>
    <row r="144" spans="21:28" x14ac:dyDescent="0.3">
      <c r="U144" s="109" t="s">
        <v>1697</v>
      </c>
      <c r="V144" s="109" t="s">
        <v>1698</v>
      </c>
      <c r="W144" s="111" t="s">
        <v>391</v>
      </c>
      <c r="X144" s="109" t="s">
        <v>140</v>
      </c>
      <c r="Y144" s="110" t="s">
        <v>326</v>
      </c>
      <c r="Z144" s="109" t="s">
        <v>1647</v>
      </c>
      <c r="AA144" s="109" t="s">
        <v>1651</v>
      </c>
      <c r="AB144" s="109" t="s">
        <v>227</v>
      </c>
    </row>
    <row r="145" spans="21:28" x14ac:dyDescent="0.3">
      <c r="U145" s="109" t="s">
        <v>1699</v>
      </c>
      <c r="V145" s="109" t="s">
        <v>1700</v>
      </c>
      <c r="W145" s="111"/>
      <c r="X145" s="109" t="s">
        <v>140</v>
      </c>
      <c r="Y145" s="110" t="s">
        <v>1470</v>
      </c>
      <c r="Z145" s="109" t="s">
        <v>1647</v>
      </c>
      <c r="AA145" s="109" t="s">
        <v>281</v>
      </c>
      <c r="AB145" s="109" t="s">
        <v>1421</v>
      </c>
    </row>
    <row r="146" spans="21:28" x14ac:dyDescent="0.3">
      <c r="U146" s="109" t="s">
        <v>392</v>
      </c>
      <c r="V146" s="109" t="s">
        <v>1701</v>
      </c>
      <c r="W146" s="111"/>
      <c r="X146" s="109" t="s">
        <v>140</v>
      </c>
      <c r="Y146" s="110" t="s">
        <v>1470</v>
      </c>
      <c r="Z146" s="109" t="s">
        <v>1647</v>
      </c>
      <c r="AA146" s="109" t="s">
        <v>1651</v>
      </c>
      <c r="AB146" s="109" t="s">
        <v>1421</v>
      </c>
    </row>
    <row r="147" spans="21:28" x14ac:dyDescent="0.3">
      <c r="U147" s="109" t="s">
        <v>1702</v>
      </c>
      <c r="V147" s="120" t="s">
        <v>1703</v>
      </c>
      <c r="W147" s="127" t="b">
        <v>0</v>
      </c>
      <c r="X147" s="120" t="s">
        <v>1424</v>
      </c>
      <c r="Y147" s="127" t="s">
        <v>1704</v>
      </c>
      <c r="Z147" s="120" t="s">
        <v>1705</v>
      </c>
      <c r="AA147" s="128" t="s">
        <v>1624</v>
      </c>
      <c r="AB147" s="128" t="s">
        <v>227</v>
      </c>
    </row>
    <row r="148" spans="21:28" x14ac:dyDescent="0.3">
      <c r="U148" s="109" t="s">
        <v>1706</v>
      </c>
      <c r="V148" s="109" t="s">
        <v>1707</v>
      </c>
      <c r="W148" s="110" t="s">
        <v>306</v>
      </c>
      <c r="X148" s="109" t="s">
        <v>249</v>
      </c>
      <c r="Y148" s="110" t="s">
        <v>151</v>
      </c>
      <c r="Z148" s="109" t="s">
        <v>1708</v>
      </c>
      <c r="AA148" s="109" t="s">
        <v>1651</v>
      </c>
      <c r="AB148" s="109" t="s">
        <v>1421</v>
      </c>
    </row>
    <row r="149" spans="21:28" x14ac:dyDescent="0.3">
      <c r="U149" s="109" t="s">
        <v>308</v>
      </c>
      <c r="V149" s="109" t="s">
        <v>1709</v>
      </c>
      <c r="W149" s="110" t="s">
        <v>153</v>
      </c>
      <c r="X149" s="109" t="s">
        <v>1373</v>
      </c>
      <c r="Y149" s="110" t="s">
        <v>152</v>
      </c>
      <c r="Z149" s="109" t="s">
        <v>307</v>
      </c>
      <c r="AA149" s="109" t="s">
        <v>1651</v>
      </c>
      <c r="AB149" s="109" t="s">
        <v>1421</v>
      </c>
    </row>
    <row r="150" spans="21:28" x14ac:dyDescent="0.3">
      <c r="U150" s="109" t="s">
        <v>336</v>
      </c>
      <c r="V150" s="109" t="s">
        <v>1710</v>
      </c>
      <c r="W150" s="110" t="s">
        <v>1711</v>
      </c>
      <c r="X150" s="109" t="s">
        <v>1416</v>
      </c>
      <c r="Y150" s="110" t="s">
        <v>1711</v>
      </c>
      <c r="Z150" s="109" t="s">
        <v>1708</v>
      </c>
      <c r="AA150" s="109" t="s">
        <v>1651</v>
      </c>
      <c r="AB150" s="109" t="s">
        <v>1421</v>
      </c>
    </row>
    <row r="151" spans="21:28" x14ac:dyDescent="0.3">
      <c r="U151" s="109" t="s">
        <v>309</v>
      </c>
      <c r="V151" s="109" t="s">
        <v>1712</v>
      </c>
      <c r="W151" s="110"/>
      <c r="X151" s="109" t="s">
        <v>1416</v>
      </c>
      <c r="Y151" s="110" t="s">
        <v>154</v>
      </c>
      <c r="Z151" s="109" t="s">
        <v>1708</v>
      </c>
      <c r="AA151" s="109" t="s">
        <v>1651</v>
      </c>
      <c r="AB151" s="109" t="s">
        <v>1713</v>
      </c>
    </row>
    <row r="152" spans="21:28" x14ac:dyDescent="0.3">
      <c r="U152" s="109" t="s">
        <v>1714</v>
      </c>
      <c r="V152" s="109" t="s">
        <v>1715</v>
      </c>
      <c r="W152" s="110" t="s">
        <v>1716</v>
      </c>
      <c r="X152" s="109" t="s">
        <v>249</v>
      </c>
      <c r="Y152" s="110" t="s">
        <v>155</v>
      </c>
      <c r="Z152" s="109" t="s">
        <v>1717</v>
      </c>
      <c r="AA152" s="109" t="s">
        <v>1651</v>
      </c>
      <c r="AB152" s="109" t="s">
        <v>1421</v>
      </c>
    </row>
    <row r="153" spans="21:28" x14ac:dyDescent="0.3">
      <c r="U153" s="109" t="s">
        <v>1718</v>
      </c>
      <c r="V153" s="109" t="s">
        <v>156</v>
      </c>
      <c r="W153" s="110"/>
      <c r="X153" s="109" t="s">
        <v>310</v>
      </c>
      <c r="Y153" s="110" t="s">
        <v>1719</v>
      </c>
      <c r="Z153" s="109" t="s">
        <v>1647</v>
      </c>
      <c r="AA153" s="109" t="s">
        <v>1624</v>
      </c>
      <c r="AB153" s="109" t="s">
        <v>290</v>
      </c>
    </row>
    <row r="154" spans="21:28" x14ac:dyDescent="0.3">
      <c r="U154" s="109" t="s">
        <v>312</v>
      </c>
      <c r="V154" s="109" t="s">
        <v>1720</v>
      </c>
      <c r="W154" s="110"/>
      <c r="X154" s="109" t="s">
        <v>1373</v>
      </c>
      <c r="Y154" s="110" t="s">
        <v>1721</v>
      </c>
      <c r="Z154" s="109" t="s">
        <v>1647</v>
      </c>
      <c r="AA154" s="109" t="s">
        <v>1624</v>
      </c>
      <c r="AB154" s="109" t="s">
        <v>1713</v>
      </c>
    </row>
    <row r="155" spans="21:28" x14ac:dyDescent="0.3">
      <c r="U155" s="109" t="s">
        <v>1722</v>
      </c>
      <c r="V155" s="109" t="s">
        <v>157</v>
      </c>
      <c r="W155" s="110"/>
      <c r="X155" s="109" t="s">
        <v>1723</v>
      </c>
      <c r="Y155" s="110" t="s">
        <v>1724</v>
      </c>
      <c r="Z155" s="109" t="s">
        <v>1647</v>
      </c>
      <c r="AA155" s="109" t="s">
        <v>1624</v>
      </c>
      <c r="AB155" s="109" t="s">
        <v>1713</v>
      </c>
    </row>
    <row r="156" spans="21:28" x14ac:dyDescent="0.3">
      <c r="U156" s="109" t="s">
        <v>313</v>
      </c>
      <c r="V156" s="109" t="s">
        <v>158</v>
      </c>
      <c r="W156" s="110"/>
      <c r="X156" s="109" t="s">
        <v>1723</v>
      </c>
      <c r="Y156" s="110" t="s">
        <v>159</v>
      </c>
      <c r="Z156" s="109" t="s">
        <v>1647</v>
      </c>
      <c r="AA156" s="109" t="s">
        <v>1624</v>
      </c>
      <c r="AB156" s="109" t="s">
        <v>1713</v>
      </c>
    </row>
    <row r="157" spans="21:28" x14ac:dyDescent="0.3">
      <c r="U157" s="109" t="s">
        <v>1725</v>
      </c>
      <c r="V157" s="128" t="s">
        <v>1726</v>
      </c>
      <c r="W157" s="134" t="s">
        <v>1727</v>
      </c>
      <c r="X157" s="128" t="s">
        <v>1728</v>
      </c>
      <c r="Y157" s="135" t="s">
        <v>1470</v>
      </c>
      <c r="Z157" s="128" t="s">
        <v>1705</v>
      </c>
      <c r="AA157" s="128" t="s">
        <v>1624</v>
      </c>
      <c r="AB157" s="128" t="s">
        <v>1421</v>
      </c>
    </row>
    <row r="158" spans="21:28" x14ac:dyDescent="0.3">
      <c r="U158" s="109" t="s">
        <v>1729</v>
      </c>
      <c r="V158" s="120" t="s">
        <v>1730</v>
      </c>
      <c r="W158" s="127" t="b">
        <v>1</v>
      </c>
      <c r="X158" s="120" t="s">
        <v>1424</v>
      </c>
      <c r="Y158" s="127" t="b">
        <v>0</v>
      </c>
      <c r="Z158" s="120" t="s">
        <v>1647</v>
      </c>
      <c r="AA158" s="128" t="s">
        <v>1624</v>
      </c>
      <c r="AB158" s="128" t="s">
        <v>1421</v>
      </c>
    </row>
    <row r="159" spans="21:28" x14ac:dyDescent="0.3">
      <c r="U159" s="109" t="s">
        <v>1731</v>
      </c>
      <c r="V159" s="120" t="s">
        <v>1732</v>
      </c>
      <c r="W159" s="127" t="s">
        <v>1733</v>
      </c>
      <c r="X159" s="120" t="s">
        <v>1416</v>
      </c>
      <c r="Y159" s="127" t="s">
        <v>1734</v>
      </c>
      <c r="Z159" s="128" t="s">
        <v>1705</v>
      </c>
      <c r="AA159" s="128" t="s">
        <v>1624</v>
      </c>
      <c r="AB159" s="128" t="s">
        <v>1421</v>
      </c>
    </row>
    <row r="160" spans="21:28" x14ac:dyDescent="0.3">
      <c r="U160" s="109" t="s">
        <v>1735</v>
      </c>
      <c r="V160" s="120" t="s">
        <v>1736</v>
      </c>
      <c r="W160" s="127"/>
      <c r="X160" s="109" t="s">
        <v>1345</v>
      </c>
      <c r="Y160" s="110" t="s">
        <v>159</v>
      </c>
      <c r="Z160" s="109" t="s">
        <v>1689</v>
      </c>
      <c r="AA160" s="109" t="s">
        <v>1624</v>
      </c>
      <c r="AB160" s="128" t="s">
        <v>1421</v>
      </c>
    </row>
  </sheetData>
  <phoneticPr fontId="2" type="noConversion"/>
  <dataValidations count="4">
    <dataValidation type="list" allowBlank="1" showInputMessage="1" showErrorMessage="1" sqref="AA2:AA160" xr:uid="{00000000-0002-0000-0200-000000000000}">
      <formula1>"System,Site,Project,Program,Client,User"</formula1>
    </dataValidation>
    <dataValidation type="list" allowBlank="1" showInputMessage="1" showErrorMessage="1" sqref="B3 B5" xr:uid="{00000000-0002-0000-0200-000001000000}">
      <formula1>INDIRECT($A3)</formula1>
    </dataValidation>
    <dataValidation type="list" allowBlank="1" showInputMessage="1" showErrorMessage="1" sqref="D8" xr:uid="{00000000-0002-0000-0200-000002000000}">
      <formula1>"UAT.cfg,DEV.cfg,SIT.cfg,PRD.cfg,DEPLOY.cfg"</formula1>
    </dataValidation>
    <dataValidation type="list" allowBlank="1" showInputMessage="1" showErrorMessage="1" sqref="C9" xr:uid="{00000000-0002-0000-0200-000003000000}">
      <formula1>"UAT.cfg,DEV.cfg,SIT.cfg,PMC.cfg,PRD.cfg,DEPLOY.cfg"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106680</xdr:colOff>
                    <xdr:row>0</xdr:row>
                    <xdr:rowOff>7620</xdr:rowOff>
                  </from>
                  <to>
                    <xdr:col>4</xdr:col>
                    <xdr:colOff>1097280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621"/>
  <sheetViews>
    <sheetView zoomScale="70" zoomScaleNormal="70" workbookViewId="0">
      <pane xSplit="2" ySplit="2" topLeftCell="C3" activePane="bottomRight" state="frozen"/>
      <selection activeCell="V29" sqref="V29"/>
      <selection pane="topRight" activeCell="V29" sqref="V29"/>
      <selection pane="bottomLeft" activeCell="V29" sqref="V29"/>
      <selection pane="bottomRight" activeCell="H29" sqref="H29"/>
    </sheetView>
  </sheetViews>
  <sheetFormatPr defaultColWidth="4.796875" defaultRowHeight="14.4" x14ac:dyDescent="0.3"/>
  <cols>
    <col min="1" max="1" width="12" style="73" customWidth="1"/>
    <col min="2" max="2" width="23.3984375" style="73" customWidth="1"/>
    <col min="3" max="3" width="15.796875" style="73" bestFit="1" customWidth="1"/>
    <col min="4" max="4" width="17.19921875" style="73" bestFit="1" customWidth="1"/>
    <col min="5" max="5" width="18.69921875" style="50" customWidth="1"/>
    <col min="6" max="6" width="19.59765625" style="50" customWidth="1"/>
    <col min="7" max="7" width="20.3984375" style="50" customWidth="1"/>
    <col min="8" max="8" width="12.69921875" style="73" customWidth="1"/>
    <col min="9" max="9" width="16.3984375" style="73" customWidth="1"/>
    <col min="10" max="10" width="30.8984375" style="73" customWidth="1"/>
    <col min="11" max="11" width="27" style="73" customWidth="1"/>
    <col min="12" max="12" width="14" style="73" customWidth="1"/>
    <col min="13" max="13" width="11.3984375" style="73" customWidth="1"/>
    <col min="14" max="14" width="16" style="50" customWidth="1"/>
    <col min="15" max="15" width="15" style="73" customWidth="1"/>
    <col min="16" max="16" width="8.296875" style="73" bestFit="1" customWidth="1"/>
    <col min="17" max="17" width="11.09765625" style="73" bestFit="1" customWidth="1"/>
    <col min="18" max="18" width="13.69921875" style="73" bestFit="1" customWidth="1"/>
    <col min="19" max="20" width="8" style="73" bestFit="1" customWidth="1"/>
    <col min="21" max="21" width="14.19921875" style="73" bestFit="1" customWidth="1"/>
    <col min="22" max="22" width="8" style="73" bestFit="1" customWidth="1"/>
    <col min="23" max="23" width="10.796875" style="73" bestFit="1" customWidth="1"/>
    <col min="24" max="24" width="11.296875" style="73" bestFit="1" customWidth="1"/>
    <col min="25" max="25" width="8.19921875" style="73" bestFit="1" customWidth="1"/>
    <col min="26" max="26" width="13.5" style="73" customWidth="1"/>
    <col min="27" max="27" width="8.5" style="73" customWidth="1"/>
    <col min="28" max="28" width="17.69921875" style="73" customWidth="1"/>
    <col min="29" max="29" width="17.5" style="73" customWidth="1"/>
    <col min="30" max="30" width="16.3984375" style="73" customWidth="1"/>
    <col min="31" max="31" width="10.3984375" style="73" bestFit="1" customWidth="1"/>
    <col min="32" max="16384" width="4.796875" style="73"/>
  </cols>
  <sheetData>
    <row r="1" spans="1:31" s="50" customFormat="1" x14ac:dyDescent="0.3">
      <c r="A1" s="144" t="s">
        <v>341</v>
      </c>
      <c r="B1" s="145"/>
      <c r="C1" s="145"/>
      <c r="D1" s="144" t="s">
        <v>189</v>
      </c>
      <c r="E1" s="145"/>
      <c r="F1" s="145"/>
      <c r="G1" s="146"/>
      <c r="H1" s="138" t="s">
        <v>190</v>
      </c>
      <c r="I1" s="139"/>
      <c r="J1" s="140" t="s">
        <v>191</v>
      </c>
      <c r="K1" s="140"/>
      <c r="L1" s="141" t="s">
        <v>192</v>
      </c>
      <c r="M1" s="141"/>
      <c r="N1" s="141"/>
      <c r="O1" s="141"/>
      <c r="P1" s="142" t="s">
        <v>401</v>
      </c>
      <c r="Q1" s="142"/>
      <c r="R1" s="142"/>
      <c r="S1" s="142"/>
      <c r="T1" s="142"/>
      <c r="U1" s="143"/>
      <c r="V1" s="143"/>
      <c r="W1" s="143"/>
      <c r="X1" s="143"/>
      <c r="Y1" s="143"/>
    </row>
    <row r="2" spans="1:31" s="50" customFormat="1" ht="43.2" x14ac:dyDescent="0.3">
      <c r="A2" s="45" t="s">
        <v>193</v>
      </c>
      <c r="B2" s="45" t="s">
        <v>194</v>
      </c>
      <c r="C2" s="45" t="s">
        <v>195</v>
      </c>
      <c r="D2" s="45" t="s">
        <v>196</v>
      </c>
      <c r="E2" s="45" t="s">
        <v>197</v>
      </c>
      <c r="F2" s="45" t="s">
        <v>339</v>
      </c>
      <c r="G2" s="45" t="s">
        <v>353</v>
      </c>
      <c r="H2" s="46" t="s">
        <v>198</v>
      </c>
      <c r="I2" s="46" t="s">
        <v>199</v>
      </c>
      <c r="J2" s="47" t="s">
        <v>200</v>
      </c>
      <c r="K2" s="48" t="s">
        <v>201</v>
      </c>
      <c r="L2" s="49" t="s">
        <v>202</v>
      </c>
      <c r="M2" s="74" t="s">
        <v>203</v>
      </c>
      <c r="N2" s="49" t="s">
        <v>204</v>
      </c>
      <c r="O2" s="49" t="s">
        <v>205</v>
      </c>
      <c r="P2" s="92" t="s">
        <v>426</v>
      </c>
      <c r="Q2" s="92" t="s">
        <v>427</v>
      </c>
      <c r="R2" s="92" t="s">
        <v>428</v>
      </c>
      <c r="S2" s="92" t="s">
        <v>429</v>
      </c>
      <c r="T2" s="92" t="s">
        <v>430</v>
      </c>
      <c r="U2" s="92" t="s">
        <v>431</v>
      </c>
      <c r="V2" s="93" t="s">
        <v>432</v>
      </c>
      <c r="W2" s="93" t="s">
        <v>433</v>
      </c>
      <c r="X2" s="93" t="s">
        <v>434</v>
      </c>
      <c r="Y2" s="93" t="s">
        <v>435</v>
      </c>
      <c r="Z2" s="93" t="s">
        <v>436</v>
      </c>
      <c r="AA2" s="93" t="s">
        <v>437</v>
      </c>
      <c r="AB2" s="93" t="s">
        <v>438</v>
      </c>
      <c r="AC2" s="93" t="s">
        <v>439</v>
      </c>
      <c r="AD2" s="93" t="s">
        <v>440</v>
      </c>
      <c r="AE2" s="93" t="s">
        <v>441</v>
      </c>
    </row>
    <row r="3" spans="1:31" s="75" customFormat="1" x14ac:dyDescent="0.3">
      <c r="A3" s="94" t="s">
        <v>1326</v>
      </c>
      <c r="B3" s="94" t="s">
        <v>1327</v>
      </c>
      <c r="C3" s="95" t="s">
        <v>1295</v>
      </c>
      <c r="E3" s="96" t="s">
        <v>1745</v>
      </c>
      <c r="F3" s="96" t="s">
        <v>206</v>
      </c>
      <c r="G3" s="96" t="s">
        <v>207</v>
      </c>
      <c r="J3" s="75" t="str">
        <f t="shared" ref="J3:J4" si="0">K3</f>
        <v>CUSTOMER</v>
      </c>
      <c r="K3" s="75" t="s">
        <v>1738</v>
      </c>
      <c r="M3" s="75" t="s">
        <v>409</v>
      </c>
      <c r="N3" s="97">
        <v>10</v>
      </c>
      <c r="P3" s="75" t="s">
        <v>1272</v>
      </c>
      <c r="U3" s="75" t="s">
        <v>1740</v>
      </c>
    </row>
    <row r="4" spans="1:31" ht="43.2" x14ac:dyDescent="0.3">
      <c r="A4" s="94" t="s">
        <v>1326</v>
      </c>
      <c r="B4" s="94" t="s">
        <v>1328</v>
      </c>
      <c r="C4" s="95" t="s">
        <v>1296</v>
      </c>
      <c r="E4" s="96" t="s">
        <v>1301</v>
      </c>
      <c r="F4" s="50" t="s">
        <v>206</v>
      </c>
      <c r="G4" s="50" t="s">
        <v>207</v>
      </c>
      <c r="J4" s="75" t="str">
        <f t="shared" si="0"/>
        <v>ORDER_INFO</v>
      </c>
      <c r="K4" s="73" t="s">
        <v>1285</v>
      </c>
      <c r="M4" s="73" t="s">
        <v>409</v>
      </c>
      <c r="N4" s="97">
        <v>10</v>
      </c>
      <c r="P4" s="75" t="s">
        <v>1272</v>
      </c>
      <c r="U4" s="73" t="s">
        <v>1741</v>
      </c>
      <c r="AD4" s="75"/>
    </row>
    <row r="5" spans="1:31" ht="43.2" x14ac:dyDescent="0.3">
      <c r="A5" s="94" t="s">
        <v>1326</v>
      </c>
      <c r="B5" s="94" t="s">
        <v>1329</v>
      </c>
      <c r="C5" s="95" t="s">
        <v>1297</v>
      </c>
      <c r="D5" s="75"/>
      <c r="E5" s="96" t="s">
        <v>1301</v>
      </c>
      <c r="F5" s="96" t="s">
        <v>206</v>
      </c>
      <c r="G5" s="96" t="s">
        <v>207</v>
      </c>
      <c r="H5" s="75"/>
      <c r="I5" s="75"/>
      <c r="J5" s="75" t="str">
        <f t="shared" ref="J5:J6" si="1">K5</f>
        <v>ORDERLINE</v>
      </c>
      <c r="K5" s="75" t="s">
        <v>1290</v>
      </c>
      <c r="L5" s="75"/>
      <c r="M5" s="75" t="s">
        <v>409</v>
      </c>
      <c r="N5" s="97">
        <v>10</v>
      </c>
      <c r="P5" s="75" t="s">
        <v>1272</v>
      </c>
      <c r="U5" s="73" t="s">
        <v>1274</v>
      </c>
    </row>
    <row r="6" spans="1:31" ht="43.2" x14ac:dyDescent="0.3">
      <c r="A6" s="94" t="s">
        <v>1326</v>
      </c>
      <c r="B6" s="94" t="s">
        <v>1330</v>
      </c>
      <c r="C6" s="95" t="s">
        <v>1298</v>
      </c>
      <c r="D6" s="75"/>
      <c r="E6" s="96" t="s">
        <v>1301</v>
      </c>
      <c r="F6" s="50" t="s">
        <v>206</v>
      </c>
      <c r="G6" s="50" t="s">
        <v>207</v>
      </c>
      <c r="J6" s="75" t="str">
        <f t="shared" si="1"/>
        <v>PRODUCT</v>
      </c>
      <c r="K6" s="73" t="s">
        <v>1294</v>
      </c>
      <c r="M6" s="73" t="s">
        <v>409</v>
      </c>
      <c r="N6" s="97">
        <v>10</v>
      </c>
      <c r="P6" s="75" t="s">
        <v>1272</v>
      </c>
      <c r="U6" s="73" t="s">
        <v>1274</v>
      </c>
    </row>
    <row r="7" spans="1:31" x14ac:dyDescent="0.3">
      <c r="D7" s="75"/>
    </row>
    <row r="8" spans="1:31" x14ac:dyDescent="0.3">
      <c r="D8" s="75"/>
    </row>
    <row r="9" spans="1:31" x14ac:dyDescent="0.3">
      <c r="D9" s="75"/>
    </row>
    <row r="10" spans="1:31" x14ac:dyDescent="0.3">
      <c r="D10" s="75"/>
    </row>
    <row r="11" spans="1:31" x14ac:dyDescent="0.3">
      <c r="D11" s="75"/>
    </row>
    <row r="12" spans="1:31" x14ac:dyDescent="0.3">
      <c r="D12" s="75"/>
    </row>
    <row r="13" spans="1:31" x14ac:dyDescent="0.3">
      <c r="D13" s="75"/>
    </row>
    <row r="14" spans="1:31" x14ac:dyDescent="0.3">
      <c r="D14" s="75"/>
    </row>
    <row r="15" spans="1:31" x14ac:dyDescent="0.3">
      <c r="D15" s="75"/>
    </row>
    <row r="16" spans="1:31" x14ac:dyDescent="0.3">
      <c r="D16" s="75"/>
    </row>
    <row r="17" spans="4:4" x14ac:dyDescent="0.3">
      <c r="D17" s="75"/>
    </row>
    <row r="18" spans="4:4" x14ac:dyDescent="0.3">
      <c r="D18" s="75"/>
    </row>
    <row r="19" spans="4:4" x14ac:dyDescent="0.3">
      <c r="D19" s="75"/>
    </row>
    <row r="20" spans="4:4" x14ac:dyDescent="0.3">
      <c r="D20" s="75"/>
    </row>
    <row r="21" spans="4:4" x14ac:dyDescent="0.3">
      <c r="D21" s="75"/>
    </row>
    <row r="22" spans="4:4" x14ac:dyDescent="0.3">
      <c r="D22" s="75"/>
    </row>
    <row r="23" spans="4:4" x14ac:dyDescent="0.3">
      <c r="D23" s="75"/>
    </row>
    <row r="24" spans="4:4" x14ac:dyDescent="0.3">
      <c r="D24" s="75"/>
    </row>
    <row r="25" spans="4:4" x14ac:dyDescent="0.3">
      <c r="D25" s="75"/>
    </row>
    <row r="26" spans="4:4" x14ac:dyDescent="0.3">
      <c r="D26" s="75"/>
    </row>
    <row r="27" spans="4:4" x14ac:dyDescent="0.3">
      <c r="D27" s="75"/>
    </row>
    <row r="28" spans="4:4" x14ac:dyDescent="0.3">
      <c r="D28" s="75"/>
    </row>
    <row r="29" spans="4:4" x14ac:dyDescent="0.3">
      <c r="D29" s="75"/>
    </row>
    <row r="30" spans="4:4" x14ac:dyDescent="0.3">
      <c r="D30" s="75"/>
    </row>
    <row r="31" spans="4:4" x14ac:dyDescent="0.3">
      <c r="D31" s="75"/>
    </row>
    <row r="32" spans="4:4" x14ac:dyDescent="0.3">
      <c r="D32" s="75"/>
    </row>
    <row r="33" spans="4:4" x14ac:dyDescent="0.3">
      <c r="D33" s="75"/>
    </row>
    <row r="34" spans="4:4" x14ac:dyDescent="0.3">
      <c r="D34" s="75"/>
    </row>
    <row r="35" spans="4:4" x14ac:dyDescent="0.3">
      <c r="D35" s="75"/>
    </row>
    <row r="36" spans="4:4" x14ac:dyDescent="0.3">
      <c r="D36" s="75"/>
    </row>
    <row r="37" spans="4:4" x14ac:dyDescent="0.3">
      <c r="D37" s="75"/>
    </row>
    <row r="38" spans="4:4" x14ac:dyDescent="0.3">
      <c r="D38" s="75"/>
    </row>
    <row r="39" spans="4:4" x14ac:dyDescent="0.3">
      <c r="D39" s="75"/>
    </row>
    <row r="40" spans="4:4" x14ac:dyDescent="0.3">
      <c r="D40" s="75"/>
    </row>
    <row r="41" spans="4:4" x14ac:dyDescent="0.3">
      <c r="D41" s="75"/>
    </row>
    <row r="42" spans="4:4" x14ac:dyDescent="0.3">
      <c r="D42" s="75"/>
    </row>
    <row r="43" spans="4:4" x14ac:dyDescent="0.3">
      <c r="D43" s="75"/>
    </row>
    <row r="44" spans="4:4" x14ac:dyDescent="0.3">
      <c r="D44" s="75"/>
    </row>
    <row r="45" spans="4:4" x14ac:dyDescent="0.3">
      <c r="D45" s="75"/>
    </row>
    <row r="46" spans="4:4" x14ac:dyDescent="0.3">
      <c r="D46" s="75"/>
    </row>
    <row r="47" spans="4:4" x14ac:dyDescent="0.3">
      <c r="D47" s="75"/>
    </row>
    <row r="48" spans="4:4" x14ac:dyDescent="0.3">
      <c r="D48" s="75"/>
    </row>
    <row r="49" spans="4:4" x14ac:dyDescent="0.3">
      <c r="D49" s="75"/>
    </row>
    <row r="50" spans="4:4" x14ac:dyDescent="0.3">
      <c r="D50" s="75"/>
    </row>
    <row r="51" spans="4:4" x14ac:dyDescent="0.3">
      <c r="D51" s="75"/>
    </row>
    <row r="52" spans="4:4" x14ac:dyDescent="0.3">
      <c r="D52" s="75"/>
    </row>
    <row r="53" spans="4:4" x14ac:dyDescent="0.3">
      <c r="D53" s="75"/>
    </row>
    <row r="54" spans="4:4" x14ac:dyDescent="0.3">
      <c r="D54" s="75"/>
    </row>
    <row r="55" spans="4:4" x14ac:dyDescent="0.3">
      <c r="D55" s="75"/>
    </row>
    <row r="56" spans="4:4" x14ac:dyDescent="0.3">
      <c r="D56" s="75"/>
    </row>
    <row r="57" spans="4:4" x14ac:dyDescent="0.3">
      <c r="D57" s="75"/>
    </row>
    <row r="58" spans="4:4" x14ac:dyDescent="0.3">
      <c r="D58" s="75"/>
    </row>
    <row r="59" spans="4:4" x14ac:dyDescent="0.3">
      <c r="D59" s="75"/>
    </row>
    <row r="60" spans="4:4" x14ac:dyDescent="0.3">
      <c r="D60" s="75"/>
    </row>
    <row r="61" spans="4:4" x14ac:dyDescent="0.3">
      <c r="D61" s="75"/>
    </row>
    <row r="62" spans="4:4" x14ac:dyDescent="0.3">
      <c r="D62" s="75"/>
    </row>
    <row r="63" spans="4:4" x14ac:dyDescent="0.3">
      <c r="D63" s="75"/>
    </row>
    <row r="64" spans="4:4" x14ac:dyDescent="0.3">
      <c r="D64" s="75"/>
    </row>
    <row r="65" spans="4:4" x14ac:dyDescent="0.3">
      <c r="D65" s="75"/>
    </row>
    <row r="66" spans="4:4" x14ac:dyDescent="0.3">
      <c r="D66" s="75"/>
    </row>
    <row r="67" spans="4:4" x14ac:dyDescent="0.3">
      <c r="D67" s="75"/>
    </row>
    <row r="68" spans="4:4" x14ac:dyDescent="0.3">
      <c r="D68" s="75"/>
    </row>
    <row r="69" spans="4:4" x14ac:dyDescent="0.3">
      <c r="D69" s="75"/>
    </row>
    <row r="70" spans="4:4" x14ac:dyDescent="0.3">
      <c r="D70" s="75"/>
    </row>
    <row r="71" spans="4:4" x14ac:dyDescent="0.3">
      <c r="D71" s="75"/>
    </row>
    <row r="72" spans="4:4" x14ac:dyDescent="0.3">
      <c r="D72" s="75"/>
    </row>
    <row r="73" spans="4:4" x14ac:dyDescent="0.3">
      <c r="D73" s="75"/>
    </row>
    <row r="74" spans="4:4" x14ac:dyDescent="0.3">
      <c r="D74" s="75"/>
    </row>
    <row r="75" spans="4:4" x14ac:dyDescent="0.3">
      <c r="D75" s="75"/>
    </row>
    <row r="76" spans="4:4" x14ac:dyDescent="0.3">
      <c r="D76" s="75"/>
    </row>
    <row r="77" spans="4:4" x14ac:dyDescent="0.3">
      <c r="D77" s="75"/>
    </row>
    <row r="78" spans="4:4" x14ac:dyDescent="0.3">
      <c r="D78" s="75"/>
    </row>
    <row r="79" spans="4:4" x14ac:dyDescent="0.3">
      <c r="D79" s="75"/>
    </row>
    <row r="80" spans="4:4" x14ac:dyDescent="0.3">
      <c r="D80" s="75"/>
    </row>
    <row r="81" spans="4:4" x14ac:dyDescent="0.3">
      <c r="D81" s="75"/>
    </row>
    <row r="82" spans="4:4" x14ac:dyDescent="0.3">
      <c r="D82" s="75"/>
    </row>
    <row r="83" spans="4:4" x14ac:dyDescent="0.3">
      <c r="D83" s="75"/>
    </row>
    <row r="84" spans="4:4" x14ac:dyDescent="0.3">
      <c r="D84" s="75"/>
    </row>
    <row r="85" spans="4:4" x14ac:dyDescent="0.3">
      <c r="D85" s="75"/>
    </row>
    <row r="86" spans="4:4" x14ac:dyDescent="0.3">
      <c r="D86" s="75"/>
    </row>
    <row r="87" spans="4:4" x14ac:dyDescent="0.3">
      <c r="D87" s="75"/>
    </row>
    <row r="88" spans="4:4" x14ac:dyDescent="0.3">
      <c r="D88" s="75"/>
    </row>
    <row r="89" spans="4:4" x14ac:dyDescent="0.3">
      <c r="D89" s="75"/>
    </row>
    <row r="90" spans="4:4" x14ac:dyDescent="0.3">
      <c r="D90" s="75"/>
    </row>
    <row r="91" spans="4:4" x14ac:dyDescent="0.3">
      <c r="D91" s="75"/>
    </row>
    <row r="92" spans="4:4" x14ac:dyDescent="0.3">
      <c r="D92" s="75"/>
    </row>
    <row r="93" spans="4:4" x14ac:dyDescent="0.3">
      <c r="D93" s="75"/>
    </row>
    <row r="94" spans="4:4" x14ac:dyDescent="0.3">
      <c r="D94" s="75"/>
    </row>
    <row r="95" spans="4:4" x14ac:dyDescent="0.3">
      <c r="D95" s="75"/>
    </row>
    <row r="96" spans="4:4" x14ac:dyDescent="0.3">
      <c r="D96" s="75"/>
    </row>
    <row r="97" spans="4:4" x14ac:dyDescent="0.3">
      <c r="D97" s="75"/>
    </row>
    <row r="98" spans="4:4" x14ac:dyDescent="0.3">
      <c r="D98" s="75"/>
    </row>
    <row r="99" spans="4:4" x14ac:dyDescent="0.3">
      <c r="D99" s="75"/>
    </row>
    <row r="100" spans="4:4" x14ac:dyDescent="0.3">
      <c r="D100" s="75"/>
    </row>
    <row r="101" spans="4:4" x14ac:dyDescent="0.3">
      <c r="D101" s="75"/>
    </row>
    <row r="102" spans="4:4" x14ac:dyDescent="0.3">
      <c r="D102" s="75"/>
    </row>
    <row r="103" spans="4:4" x14ac:dyDescent="0.3">
      <c r="D103" s="75"/>
    </row>
    <row r="104" spans="4:4" x14ac:dyDescent="0.3">
      <c r="D104" s="75"/>
    </row>
    <row r="105" spans="4:4" x14ac:dyDescent="0.3">
      <c r="D105" s="75"/>
    </row>
    <row r="106" spans="4:4" x14ac:dyDescent="0.3">
      <c r="D106" s="75"/>
    </row>
    <row r="107" spans="4:4" x14ac:dyDescent="0.3">
      <c r="D107" s="75"/>
    </row>
    <row r="108" spans="4:4" x14ac:dyDescent="0.3">
      <c r="D108" s="75"/>
    </row>
    <row r="109" spans="4:4" x14ac:dyDescent="0.3">
      <c r="D109" s="75"/>
    </row>
    <row r="110" spans="4:4" x14ac:dyDescent="0.3">
      <c r="D110" s="75"/>
    </row>
    <row r="111" spans="4:4" x14ac:dyDescent="0.3">
      <c r="D111" s="75"/>
    </row>
    <row r="112" spans="4:4" x14ac:dyDescent="0.3">
      <c r="D112" s="75"/>
    </row>
    <row r="113" spans="4:4" x14ac:dyDescent="0.3">
      <c r="D113" s="75"/>
    </row>
    <row r="114" spans="4:4" x14ac:dyDescent="0.3">
      <c r="D114" s="75"/>
    </row>
    <row r="115" spans="4:4" x14ac:dyDescent="0.3">
      <c r="D115" s="75"/>
    </row>
    <row r="116" spans="4:4" x14ac:dyDescent="0.3">
      <c r="D116" s="75"/>
    </row>
    <row r="117" spans="4:4" x14ac:dyDescent="0.3">
      <c r="D117" s="75"/>
    </row>
    <row r="118" spans="4:4" x14ac:dyDescent="0.3">
      <c r="D118" s="75"/>
    </row>
    <row r="119" spans="4:4" x14ac:dyDescent="0.3">
      <c r="D119" s="75"/>
    </row>
    <row r="120" spans="4:4" x14ac:dyDescent="0.3">
      <c r="D120" s="75"/>
    </row>
    <row r="121" spans="4:4" x14ac:dyDescent="0.3">
      <c r="D121" s="75"/>
    </row>
    <row r="122" spans="4:4" x14ac:dyDescent="0.3">
      <c r="D122" s="75"/>
    </row>
    <row r="123" spans="4:4" x14ac:dyDescent="0.3">
      <c r="D123" s="75"/>
    </row>
    <row r="124" spans="4:4" x14ac:dyDescent="0.3">
      <c r="D124" s="75"/>
    </row>
    <row r="125" spans="4:4" x14ac:dyDescent="0.3">
      <c r="D125" s="75"/>
    </row>
    <row r="126" spans="4:4" x14ac:dyDescent="0.3">
      <c r="D126" s="75"/>
    </row>
    <row r="127" spans="4:4" x14ac:dyDescent="0.3">
      <c r="D127" s="75"/>
    </row>
    <row r="128" spans="4:4" x14ac:dyDescent="0.3">
      <c r="D128" s="75"/>
    </row>
    <row r="129" spans="4:4" x14ac:dyDescent="0.3">
      <c r="D129" s="75"/>
    </row>
    <row r="130" spans="4:4" x14ac:dyDescent="0.3">
      <c r="D130" s="75"/>
    </row>
    <row r="131" spans="4:4" x14ac:dyDescent="0.3">
      <c r="D131" s="75"/>
    </row>
    <row r="132" spans="4:4" x14ac:dyDescent="0.3">
      <c r="D132" s="75"/>
    </row>
    <row r="133" spans="4:4" x14ac:dyDescent="0.3">
      <c r="D133" s="75"/>
    </row>
    <row r="134" spans="4:4" x14ac:dyDescent="0.3">
      <c r="D134" s="75"/>
    </row>
    <row r="135" spans="4:4" x14ac:dyDescent="0.3">
      <c r="D135" s="75"/>
    </row>
    <row r="136" spans="4:4" x14ac:dyDescent="0.3">
      <c r="D136" s="75"/>
    </row>
    <row r="137" spans="4:4" x14ac:dyDescent="0.3">
      <c r="D137" s="75"/>
    </row>
    <row r="138" spans="4:4" x14ac:dyDescent="0.3">
      <c r="D138" s="75"/>
    </row>
    <row r="139" spans="4:4" x14ac:dyDescent="0.3">
      <c r="D139" s="75"/>
    </row>
    <row r="140" spans="4:4" x14ac:dyDescent="0.3">
      <c r="D140" s="75"/>
    </row>
    <row r="141" spans="4:4" x14ac:dyDescent="0.3">
      <c r="D141" s="75"/>
    </row>
    <row r="142" spans="4:4" x14ac:dyDescent="0.3">
      <c r="D142" s="75"/>
    </row>
    <row r="143" spans="4:4" x14ac:dyDescent="0.3">
      <c r="D143" s="75"/>
    </row>
    <row r="144" spans="4:4" x14ac:dyDescent="0.3">
      <c r="D144" s="75"/>
    </row>
    <row r="145" spans="4:4" x14ac:dyDescent="0.3">
      <c r="D145" s="75"/>
    </row>
    <row r="146" spans="4:4" x14ac:dyDescent="0.3">
      <c r="D146" s="75"/>
    </row>
    <row r="147" spans="4:4" x14ac:dyDescent="0.3">
      <c r="D147" s="75"/>
    </row>
    <row r="148" spans="4:4" x14ac:dyDescent="0.3">
      <c r="D148" s="75"/>
    </row>
    <row r="149" spans="4:4" x14ac:dyDescent="0.3">
      <c r="D149" s="75"/>
    </row>
    <row r="150" spans="4:4" x14ac:dyDescent="0.3">
      <c r="D150" s="75"/>
    </row>
    <row r="151" spans="4:4" x14ac:dyDescent="0.3">
      <c r="D151" s="75"/>
    </row>
    <row r="152" spans="4:4" x14ac:dyDescent="0.3">
      <c r="D152" s="75"/>
    </row>
    <row r="153" spans="4:4" x14ac:dyDescent="0.3">
      <c r="D153" s="75"/>
    </row>
    <row r="154" spans="4:4" x14ac:dyDescent="0.3">
      <c r="D154" s="75"/>
    </row>
    <row r="155" spans="4:4" x14ac:dyDescent="0.3">
      <c r="D155" s="75"/>
    </row>
    <row r="156" spans="4:4" x14ac:dyDescent="0.3">
      <c r="D156" s="75"/>
    </row>
    <row r="157" spans="4:4" x14ac:dyDescent="0.3">
      <c r="D157" s="75"/>
    </row>
    <row r="158" spans="4:4" x14ac:dyDescent="0.3">
      <c r="D158" s="75"/>
    </row>
    <row r="159" spans="4:4" x14ac:dyDescent="0.3">
      <c r="D159" s="75"/>
    </row>
    <row r="160" spans="4:4" x14ac:dyDescent="0.3">
      <c r="D160" s="75"/>
    </row>
    <row r="161" spans="4:4" x14ac:dyDescent="0.3">
      <c r="D161" s="75"/>
    </row>
    <row r="162" spans="4:4" x14ac:dyDescent="0.3">
      <c r="D162" s="75"/>
    </row>
    <row r="163" spans="4:4" x14ac:dyDescent="0.3">
      <c r="D163" s="75"/>
    </row>
    <row r="164" spans="4:4" x14ac:dyDescent="0.3">
      <c r="D164" s="75"/>
    </row>
    <row r="165" spans="4:4" x14ac:dyDescent="0.3">
      <c r="D165" s="75"/>
    </row>
    <row r="166" spans="4:4" x14ac:dyDescent="0.3">
      <c r="D166" s="75"/>
    </row>
    <row r="167" spans="4:4" x14ac:dyDescent="0.3">
      <c r="D167" s="75"/>
    </row>
    <row r="168" spans="4:4" x14ac:dyDescent="0.3">
      <c r="D168" s="75"/>
    </row>
    <row r="169" spans="4:4" x14ac:dyDescent="0.3">
      <c r="D169" s="75"/>
    </row>
    <row r="170" spans="4:4" x14ac:dyDescent="0.3">
      <c r="D170" s="75"/>
    </row>
    <row r="171" spans="4:4" x14ac:dyDescent="0.3">
      <c r="D171" s="75"/>
    </row>
    <row r="172" spans="4:4" x14ac:dyDescent="0.3">
      <c r="D172" s="75"/>
    </row>
    <row r="173" spans="4:4" x14ac:dyDescent="0.3">
      <c r="D173" s="75"/>
    </row>
    <row r="174" spans="4:4" x14ac:dyDescent="0.3">
      <c r="D174" s="75"/>
    </row>
    <row r="175" spans="4:4" x14ac:dyDescent="0.3">
      <c r="D175" s="75"/>
    </row>
    <row r="176" spans="4:4" x14ac:dyDescent="0.3">
      <c r="D176" s="75"/>
    </row>
    <row r="177" spans="4:4" x14ac:dyDescent="0.3">
      <c r="D177" s="75"/>
    </row>
    <row r="178" spans="4:4" x14ac:dyDescent="0.3">
      <c r="D178" s="75"/>
    </row>
    <row r="179" spans="4:4" x14ac:dyDescent="0.3">
      <c r="D179" s="75"/>
    </row>
    <row r="180" spans="4:4" x14ac:dyDescent="0.3">
      <c r="D180" s="75"/>
    </row>
    <row r="181" spans="4:4" x14ac:dyDescent="0.3">
      <c r="D181" s="75"/>
    </row>
    <row r="182" spans="4:4" x14ac:dyDescent="0.3">
      <c r="D182" s="75"/>
    </row>
    <row r="183" spans="4:4" x14ac:dyDescent="0.3">
      <c r="D183" s="75"/>
    </row>
    <row r="184" spans="4:4" x14ac:dyDescent="0.3">
      <c r="D184" s="75"/>
    </row>
    <row r="185" spans="4:4" x14ac:dyDescent="0.3">
      <c r="D185" s="75"/>
    </row>
    <row r="186" spans="4:4" x14ac:dyDescent="0.3">
      <c r="D186" s="75"/>
    </row>
    <row r="187" spans="4:4" x14ac:dyDescent="0.3">
      <c r="D187" s="75"/>
    </row>
    <row r="188" spans="4:4" x14ac:dyDescent="0.3">
      <c r="D188" s="75"/>
    </row>
    <row r="189" spans="4:4" x14ac:dyDescent="0.3">
      <c r="D189" s="75"/>
    </row>
    <row r="190" spans="4:4" x14ac:dyDescent="0.3">
      <c r="D190" s="75"/>
    </row>
    <row r="191" spans="4:4" x14ac:dyDescent="0.3">
      <c r="D191" s="75"/>
    </row>
    <row r="192" spans="4:4" x14ac:dyDescent="0.3">
      <c r="D192" s="75"/>
    </row>
    <row r="193" spans="4:4" x14ac:dyDescent="0.3">
      <c r="D193" s="75"/>
    </row>
    <row r="194" spans="4:4" x14ac:dyDescent="0.3">
      <c r="D194" s="75"/>
    </row>
    <row r="195" spans="4:4" x14ac:dyDescent="0.3">
      <c r="D195" s="75"/>
    </row>
    <row r="196" spans="4:4" x14ac:dyDescent="0.3">
      <c r="D196" s="75"/>
    </row>
    <row r="197" spans="4:4" x14ac:dyDescent="0.3">
      <c r="D197" s="75"/>
    </row>
    <row r="198" spans="4:4" x14ac:dyDescent="0.3">
      <c r="D198" s="75"/>
    </row>
    <row r="199" spans="4:4" x14ac:dyDescent="0.3">
      <c r="D199" s="75"/>
    </row>
    <row r="200" spans="4:4" x14ac:dyDescent="0.3">
      <c r="D200" s="75"/>
    </row>
    <row r="201" spans="4:4" x14ac:dyDescent="0.3">
      <c r="D201" s="75"/>
    </row>
    <row r="202" spans="4:4" x14ac:dyDescent="0.3">
      <c r="D202" s="75"/>
    </row>
    <row r="203" spans="4:4" x14ac:dyDescent="0.3">
      <c r="D203" s="75"/>
    </row>
    <row r="204" spans="4:4" x14ac:dyDescent="0.3">
      <c r="D204" s="75"/>
    </row>
    <row r="205" spans="4:4" x14ac:dyDescent="0.3">
      <c r="D205" s="75"/>
    </row>
    <row r="206" spans="4:4" x14ac:dyDescent="0.3">
      <c r="D206" s="75"/>
    </row>
    <row r="207" spans="4:4" x14ac:dyDescent="0.3">
      <c r="D207" s="75"/>
    </row>
    <row r="208" spans="4:4" x14ac:dyDescent="0.3">
      <c r="D208" s="75"/>
    </row>
    <row r="209" spans="4:4" x14ac:dyDescent="0.3">
      <c r="D209" s="75"/>
    </row>
    <row r="210" spans="4:4" x14ac:dyDescent="0.3">
      <c r="D210" s="75"/>
    </row>
    <row r="211" spans="4:4" x14ac:dyDescent="0.3">
      <c r="D211" s="75"/>
    </row>
    <row r="212" spans="4:4" x14ac:dyDescent="0.3">
      <c r="D212" s="75"/>
    </row>
    <row r="213" spans="4:4" x14ac:dyDescent="0.3">
      <c r="D213" s="75"/>
    </row>
    <row r="214" spans="4:4" x14ac:dyDescent="0.3">
      <c r="D214" s="75"/>
    </row>
    <row r="215" spans="4:4" x14ac:dyDescent="0.3">
      <c r="D215" s="75"/>
    </row>
    <row r="216" spans="4:4" x14ac:dyDescent="0.3">
      <c r="D216" s="75"/>
    </row>
    <row r="217" spans="4:4" x14ac:dyDescent="0.3">
      <c r="D217" s="75"/>
    </row>
    <row r="218" spans="4:4" x14ac:dyDescent="0.3">
      <c r="D218" s="75"/>
    </row>
    <row r="219" spans="4:4" x14ac:dyDescent="0.3">
      <c r="D219" s="75"/>
    </row>
    <row r="220" spans="4:4" x14ac:dyDescent="0.3">
      <c r="D220" s="75"/>
    </row>
    <row r="221" spans="4:4" x14ac:dyDescent="0.3">
      <c r="D221" s="75"/>
    </row>
    <row r="222" spans="4:4" x14ac:dyDescent="0.3">
      <c r="D222" s="75"/>
    </row>
    <row r="223" spans="4:4" x14ac:dyDescent="0.3">
      <c r="D223" s="75"/>
    </row>
    <row r="224" spans="4:4" x14ac:dyDescent="0.3">
      <c r="D224" s="75"/>
    </row>
    <row r="225" spans="4:4" x14ac:dyDescent="0.3">
      <c r="D225" s="75"/>
    </row>
    <row r="226" spans="4:4" x14ac:dyDescent="0.3">
      <c r="D226" s="75"/>
    </row>
    <row r="227" spans="4:4" x14ac:dyDescent="0.3">
      <c r="D227" s="75"/>
    </row>
    <row r="228" spans="4:4" x14ac:dyDescent="0.3">
      <c r="D228" s="75"/>
    </row>
    <row r="229" spans="4:4" x14ac:dyDescent="0.3">
      <c r="D229" s="75"/>
    </row>
    <row r="230" spans="4:4" x14ac:dyDescent="0.3">
      <c r="D230" s="75"/>
    </row>
    <row r="231" spans="4:4" x14ac:dyDescent="0.3">
      <c r="D231" s="75"/>
    </row>
    <row r="232" spans="4:4" x14ac:dyDescent="0.3">
      <c r="D232" s="75"/>
    </row>
    <row r="233" spans="4:4" x14ac:dyDescent="0.3">
      <c r="D233" s="75"/>
    </row>
    <row r="234" spans="4:4" x14ac:dyDescent="0.3">
      <c r="D234" s="75"/>
    </row>
    <row r="235" spans="4:4" x14ac:dyDescent="0.3">
      <c r="D235" s="75"/>
    </row>
    <row r="236" spans="4:4" x14ac:dyDescent="0.3">
      <c r="D236" s="75"/>
    </row>
    <row r="237" spans="4:4" x14ac:dyDescent="0.3">
      <c r="D237" s="75"/>
    </row>
    <row r="238" spans="4:4" x14ac:dyDescent="0.3">
      <c r="D238" s="75"/>
    </row>
    <row r="239" spans="4:4" x14ac:dyDescent="0.3">
      <c r="D239" s="75"/>
    </row>
    <row r="240" spans="4:4" x14ac:dyDescent="0.3">
      <c r="D240" s="75"/>
    </row>
    <row r="241" spans="4:4" x14ac:dyDescent="0.3">
      <c r="D241" s="75"/>
    </row>
    <row r="242" spans="4:4" x14ac:dyDescent="0.3">
      <c r="D242" s="75"/>
    </row>
    <row r="243" spans="4:4" x14ac:dyDescent="0.3">
      <c r="D243" s="75"/>
    </row>
    <row r="244" spans="4:4" x14ac:dyDescent="0.3">
      <c r="D244" s="75"/>
    </row>
    <row r="245" spans="4:4" x14ac:dyDescent="0.3">
      <c r="D245" s="75"/>
    </row>
    <row r="246" spans="4:4" x14ac:dyDescent="0.3">
      <c r="D246" s="75"/>
    </row>
    <row r="247" spans="4:4" x14ac:dyDescent="0.3">
      <c r="D247" s="75"/>
    </row>
    <row r="248" spans="4:4" x14ac:dyDescent="0.3">
      <c r="D248" s="75"/>
    </row>
    <row r="249" spans="4:4" x14ac:dyDescent="0.3">
      <c r="D249" s="75"/>
    </row>
    <row r="250" spans="4:4" x14ac:dyDescent="0.3">
      <c r="D250" s="75"/>
    </row>
    <row r="251" spans="4:4" x14ac:dyDescent="0.3">
      <c r="D251" s="75"/>
    </row>
    <row r="252" spans="4:4" x14ac:dyDescent="0.3">
      <c r="D252" s="75"/>
    </row>
    <row r="253" spans="4:4" x14ac:dyDescent="0.3">
      <c r="D253" s="75"/>
    </row>
    <row r="254" spans="4:4" x14ac:dyDescent="0.3">
      <c r="D254" s="75"/>
    </row>
    <row r="255" spans="4:4" x14ac:dyDescent="0.3">
      <c r="D255" s="75"/>
    </row>
    <row r="256" spans="4:4" x14ac:dyDescent="0.3">
      <c r="D256" s="75"/>
    </row>
    <row r="257" spans="4:4" x14ac:dyDescent="0.3">
      <c r="D257" s="75"/>
    </row>
    <row r="258" spans="4:4" x14ac:dyDescent="0.3">
      <c r="D258" s="75"/>
    </row>
    <row r="259" spans="4:4" x14ac:dyDescent="0.3">
      <c r="D259" s="75"/>
    </row>
    <row r="260" spans="4:4" x14ac:dyDescent="0.3">
      <c r="D260" s="75"/>
    </row>
    <row r="261" spans="4:4" x14ac:dyDescent="0.3">
      <c r="D261" s="75"/>
    </row>
    <row r="262" spans="4:4" x14ac:dyDescent="0.3">
      <c r="D262" s="75"/>
    </row>
    <row r="263" spans="4:4" x14ac:dyDescent="0.3">
      <c r="D263" s="75"/>
    </row>
    <row r="264" spans="4:4" x14ac:dyDescent="0.3">
      <c r="D264" s="75"/>
    </row>
    <row r="265" spans="4:4" x14ac:dyDescent="0.3">
      <c r="D265" s="75"/>
    </row>
    <row r="266" spans="4:4" x14ac:dyDescent="0.3">
      <c r="D266" s="75"/>
    </row>
    <row r="267" spans="4:4" x14ac:dyDescent="0.3">
      <c r="D267" s="75"/>
    </row>
    <row r="268" spans="4:4" x14ac:dyDescent="0.3">
      <c r="D268" s="75"/>
    </row>
    <row r="269" spans="4:4" x14ac:dyDescent="0.3">
      <c r="D269" s="75"/>
    </row>
    <row r="270" spans="4:4" x14ac:dyDescent="0.3">
      <c r="D270" s="75"/>
    </row>
    <row r="271" spans="4:4" x14ac:dyDescent="0.3">
      <c r="D271" s="75"/>
    </row>
    <row r="272" spans="4:4" x14ac:dyDescent="0.3">
      <c r="D272" s="75"/>
    </row>
    <row r="273" spans="4:4" x14ac:dyDescent="0.3">
      <c r="D273" s="75"/>
    </row>
    <row r="274" spans="4:4" x14ac:dyDescent="0.3">
      <c r="D274" s="75"/>
    </row>
    <row r="275" spans="4:4" x14ac:dyDescent="0.3">
      <c r="D275" s="75"/>
    </row>
    <row r="276" spans="4:4" x14ac:dyDescent="0.3">
      <c r="D276" s="75"/>
    </row>
    <row r="277" spans="4:4" x14ac:dyDescent="0.3">
      <c r="D277" s="75"/>
    </row>
    <row r="278" spans="4:4" x14ac:dyDescent="0.3">
      <c r="D278" s="75"/>
    </row>
    <row r="279" spans="4:4" x14ac:dyDescent="0.3">
      <c r="D279" s="75"/>
    </row>
    <row r="280" spans="4:4" x14ac:dyDescent="0.3">
      <c r="D280" s="75"/>
    </row>
    <row r="281" spans="4:4" x14ac:dyDescent="0.3">
      <c r="D281" s="75"/>
    </row>
    <row r="282" spans="4:4" x14ac:dyDescent="0.3">
      <c r="D282" s="75"/>
    </row>
    <row r="283" spans="4:4" x14ac:dyDescent="0.3">
      <c r="D283" s="75"/>
    </row>
    <row r="284" spans="4:4" x14ac:dyDescent="0.3">
      <c r="D284" s="75"/>
    </row>
    <row r="285" spans="4:4" x14ac:dyDescent="0.3">
      <c r="D285" s="75"/>
    </row>
    <row r="286" spans="4:4" x14ac:dyDescent="0.3">
      <c r="D286" s="75"/>
    </row>
    <row r="287" spans="4:4" x14ac:dyDescent="0.3">
      <c r="D287" s="75"/>
    </row>
    <row r="288" spans="4:4" x14ac:dyDescent="0.3">
      <c r="D288" s="75"/>
    </row>
    <row r="289" spans="4:4" x14ac:dyDescent="0.3">
      <c r="D289" s="75"/>
    </row>
    <row r="290" spans="4:4" x14ac:dyDescent="0.3">
      <c r="D290" s="75"/>
    </row>
    <row r="291" spans="4:4" x14ac:dyDescent="0.3">
      <c r="D291" s="75"/>
    </row>
    <row r="292" spans="4:4" x14ac:dyDescent="0.3">
      <c r="D292" s="75"/>
    </row>
    <row r="293" spans="4:4" x14ac:dyDescent="0.3">
      <c r="D293" s="75"/>
    </row>
    <row r="294" spans="4:4" x14ac:dyDescent="0.3">
      <c r="D294" s="75"/>
    </row>
    <row r="295" spans="4:4" x14ac:dyDescent="0.3">
      <c r="D295" s="75"/>
    </row>
    <row r="296" spans="4:4" x14ac:dyDescent="0.3">
      <c r="D296" s="75"/>
    </row>
    <row r="297" spans="4:4" x14ac:dyDescent="0.3">
      <c r="D297" s="75"/>
    </row>
    <row r="298" spans="4:4" x14ac:dyDescent="0.3">
      <c r="D298" s="75"/>
    </row>
    <row r="299" spans="4:4" x14ac:dyDescent="0.3">
      <c r="D299" s="75"/>
    </row>
    <row r="300" spans="4:4" x14ac:dyDescent="0.3">
      <c r="D300" s="75"/>
    </row>
    <row r="301" spans="4:4" x14ac:dyDescent="0.3">
      <c r="D301" s="75"/>
    </row>
    <row r="302" spans="4:4" x14ac:dyDescent="0.3">
      <c r="D302" s="75"/>
    </row>
    <row r="303" spans="4:4" x14ac:dyDescent="0.3">
      <c r="D303" s="75"/>
    </row>
    <row r="304" spans="4:4" x14ac:dyDescent="0.3">
      <c r="D304" s="75"/>
    </row>
    <row r="305" spans="4:4" x14ac:dyDescent="0.3">
      <c r="D305" s="75"/>
    </row>
    <row r="306" spans="4:4" x14ac:dyDescent="0.3">
      <c r="D306" s="75"/>
    </row>
    <row r="307" spans="4:4" x14ac:dyDescent="0.3">
      <c r="D307" s="75"/>
    </row>
    <row r="308" spans="4:4" x14ac:dyDescent="0.3">
      <c r="D308" s="75"/>
    </row>
    <row r="309" spans="4:4" x14ac:dyDescent="0.3">
      <c r="D309" s="75"/>
    </row>
    <row r="310" spans="4:4" x14ac:dyDescent="0.3">
      <c r="D310" s="75"/>
    </row>
    <row r="311" spans="4:4" x14ac:dyDescent="0.3">
      <c r="D311" s="75"/>
    </row>
    <row r="312" spans="4:4" x14ac:dyDescent="0.3">
      <c r="D312" s="75"/>
    </row>
    <row r="313" spans="4:4" x14ac:dyDescent="0.3">
      <c r="D313" s="75"/>
    </row>
    <row r="314" spans="4:4" x14ac:dyDescent="0.3">
      <c r="D314" s="75"/>
    </row>
    <row r="315" spans="4:4" x14ac:dyDescent="0.3">
      <c r="D315" s="75"/>
    </row>
    <row r="316" spans="4:4" x14ac:dyDescent="0.3">
      <c r="D316" s="75"/>
    </row>
    <row r="317" spans="4:4" x14ac:dyDescent="0.3">
      <c r="D317" s="75"/>
    </row>
    <row r="318" spans="4:4" x14ac:dyDescent="0.3">
      <c r="D318" s="75"/>
    </row>
    <row r="319" spans="4:4" x14ac:dyDescent="0.3">
      <c r="D319" s="75"/>
    </row>
    <row r="320" spans="4:4" x14ac:dyDescent="0.3">
      <c r="D320" s="75"/>
    </row>
    <row r="321" spans="4:4" x14ac:dyDescent="0.3">
      <c r="D321" s="75"/>
    </row>
    <row r="322" spans="4:4" x14ac:dyDescent="0.3">
      <c r="D322" s="75"/>
    </row>
    <row r="323" spans="4:4" x14ac:dyDescent="0.3">
      <c r="D323" s="75"/>
    </row>
    <row r="324" spans="4:4" x14ac:dyDescent="0.3">
      <c r="D324" s="75"/>
    </row>
    <row r="325" spans="4:4" x14ac:dyDescent="0.3">
      <c r="D325" s="75"/>
    </row>
    <row r="326" spans="4:4" x14ac:dyDescent="0.3">
      <c r="D326" s="75"/>
    </row>
    <row r="327" spans="4:4" x14ac:dyDescent="0.3">
      <c r="D327" s="75"/>
    </row>
    <row r="328" spans="4:4" x14ac:dyDescent="0.3">
      <c r="D328" s="75"/>
    </row>
    <row r="329" spans="4:4" x14ac:dyDescent="0.3">
      <c r="D329" s="75"/>
    </row>
    <row r="330" spans="4:4" x14ac:dyDescent="0.3">
      <c r="D330" s="75"/>
    </row>
    <row r="331" spans="4:4" x14ac:dyDescent="0.3">
      <c r="D331" s="75"/>
    </row>
    <row r="332" spans="4:4" x14ac:dyDescent="0.3">
      <c r="D332" s="75"/>
    </row>
    <row r="333" spans="4:4" x14ac:dyDescent="0.3">
      <c r="D333" s="75"/>
    </row>
    <row r="334" spans="4:4" x14ac:dyDescent="0.3">
      <c r="D334" s="75"/>
    </row>
    <row r="335" spans="4:4" x14ac:dyDescent="0.3">
      <c r="D335" s="75"/>
    </row>
    <row r="336" spans="4:4" x14ac:dyDescent="0.3">
      <c r="D336" s="75"/>
    </row>
    <row r="337" spans="4:4" x14ac:dyDescent="0.3">
      <c r="D337" s="75"/>
    </row>
    <row r="338" spans="4:4" x14ac:dyDescent="0.3">
      <c r="D338" s="75"/>
    </row>
    <row r="339" spans="4:4" x14ac:dyDescent="0.3">
      <c r="D339" s="75"/>
    </row>
    <row r="340" spans="4:4" x14ac:dyDescent="0.3">
      <c r="D340" s="75"/>
    </row>
    <row r="341" spans="4:4" x14ac:dyDescent="0.3">
      <c r="D341" s="75"/>
    </row>
    <row r="342" spans="4:4" x14ac:dyDescent="0.3">
      <c r="D342" s="75"/>
    </row>
    <row r="343" spans="4:4" x14ac:dyDescent="0.3">
      <c r="D343" s="75"/>
    </row>
    <row r="344" spans="4:4" x14ac:dyDescent="0.3">
      <c r="D344" s="75"/>
    </row>
    <row r="345" spans="4:4" x14ac:dyDescent="0.3">
      <c r="D345" s="75"/>
    </row>
    <row r="346" spans="4:4" x14ac:dyDescent="0.3">
      <c r="D346" s="75"/>
    </row>
    <row r="347" spans="4:4" x14ac:dyDescent="0.3">
      <c r="D347" s="75"/>
    </row>
    <row r="348" spans="4:4" x14ac:dyDescent="0.3">
      <c r="D348" s="75"/>
    </row>
    <row r="349" spans="4:4" x14ac:dyDescent="0.3">
      <c r="D349" s="75"/>
    </row>
    <row r="350" spans="4:4" x14ac:dyDescent="0.3">
      <c r="D350" s="75"/>
    </row>
    <row r="351" spans="4:4" x14ac:dyDescent="0.3">
      <c r="D351" s="75"/>
    </row>
    <row r="352" spans="4:4" x14ac:dyDescent="0.3">
      <c r="D352" s="75"/>
    </row>
    <row r="353" spans="4:4" x14ac:dyDescent="0.3">
      <c r="D353" s="75"/>
    </row>
    <row r="354" spans="4:4" x14ac:dyDescent="0.3">
      <c r="D354" s="75"/>
    </row>
    <row r="355" spans="4:4" x14ac:dyDescent="0.3">
      <c r="D355" s="75"/>
    </row>
    <row r="356" spans="4:4" x14ac:dyDescent="0.3">
      <c r="D356" s="75"/>
    </row>
    <row r="357" spans="4:4" x14ac:dyDescent="0.3">
      <c r="D357" s="75"/>
    </row>
    <row r="358" spans="4:4" x14ac:dyDescent="0.3">
      <c r="D358" s="75"/>
    </row>
    <row r="359" spans="4:4" x14ac:dyDescent="0.3">
      <c r="D359" s="75"/>
    </row>
    <row r="360" spans="4:4" x14ac:dyDescent="0.3">
      <c r="D360" s="75"/>
    </row>
    <row r="361" spans="4:4" x14ac:dyDescent="0.3">
      <c r="D361" s="75"/>
    </row>
    <row r="362" spans="4:4" x14ac:dyDescent="0.3">
      <c r="D362" s="75"/>
    </row>
    <row r="363" spans="4:4" x14ac:dyDescent="0.3">
      <c r="D363" s="75"/>
    </row>
    <row r="364" spans="4:4" x14ac:dyDescent="0.3">
      <c r="D364" s="75"/>
    </row>
    <row r="365" spans="4:4" x14ac:dyDescent="0.3">
      <c r="D365" s="75"/>
    </row>
    <row r="366" spans="4:4" x14ac:dyDescent="0.3">
      <c r="D366" s="75"/>
    </row>
    <row r="367" spans="4:4" x14ac:dyDescent="0.3">
      <c r="D367" s="75"/>
    </row>
    <row r="368" spans="4:4" x14ac:dyDescent="0.3">
      <c r="D368" s="75"/>
    </row>
    <row r="369" spans="4:4" x14ac:dyDescent="0.3">
      <c r="D369" s="75"/>
    </row>
    <row r="370" spans="4:4" x14ac:dyDescent="0.3">
      <c r="D370" s="75"/>
    </row>
    <row r="371" spans="4:4" x14ac:dyDescent="0.3">
      <c r="D371" s="75"/>
    </row>
    <row r="372" spans="4:4" x14ac:dyDescent="0.3">
      <c r="D372" s="75"/>
    </row>
    <row r="373" spans="4:4" x14ac:dyDescent="0.3">
      <c r="D373" s="75"/>
    </row>
    <row r="374" spans="4:4" x14ac:dyDescent="0.3">
      <c r="D374" s="75"/>
    </row>
    <row r="375" spans="4:4" x14ac:dyDescent="0.3">
      <c r="D375" s="75"/>
    </row>
    <row r="376" spans="4:4" x14ac:dyDescent="0.3">
      <c r="D376" s="75"/>
    </row>
    <row r="377" spans="4:4" x14ac:dyDescent="0.3">
      <c r="D377" s="75"/>
    </row>
    <row r="378" spans="4:4" x14ac:dyDescent="0.3">
      <c r="D378" s="75"/>
    </row>
    <row r="379" spans="4:4" x14ac:dyDescent="0.3">
      <c r="D379" s="75"/>
    </row>
    <row r="380" spans="4:4" x14ac:dyDescent="0.3">
      <c r="D380" s="75"/>
    </row>
    <row r="381" spans="4:4" x14ac:dyDescent="0.3">
      <c r="D381" s="75"/>
    </row>
    <row r="382" spans="4:4" x14ac:dyDescent="0.3">
      <c r="D382" s="75"/>
    </row>
    <row r="383" spans="4:4" x14ac:dyDescent="0.3">
      <c r="D383" s="75"/>
    </row>
    <row r="384" spans="4:4" x14ac:dyDescent="0.3">
      <c r="D384" s="75"/>
    </row>
    <row r="385" spans="4:4" x14ac:dyDescent="0.3">
      <c r="D385" s="75"/>
    </row>
    <row r="386" spans="4:4" x14ac:dyDescent="0.3">
      <c r="D386" s="75"/>
    </row>
    <row r="387" spans="4:4" x14ac:dyDescent="0.3">
      <c r="D387" s="75"/>
    </row>
    <row r="388" spans="4:4" x14ac:dyDescent="0.3">
      <c r="D388" s="75"/>
    </row>
    <row r="389" spans="4:4" x14ac:dyDescent="0.3">
      <c r="D389" s="75"/>
    </row>
    <row r="390" spans="4:4" x14ac:dyDescent="0.3">
      <c r="D390" s="75"/>
    </row>
    <row r="391" spans="4:4" x14ac:dyDescent="0.3">
      <c r="D391" s="75"/>
    </row>
    <row r="392" spans="4:4" x14ac:dyDescent="0.3">
      <c r="D392" s="75"/>
    </row>
    <row r="393" spans="4:4" x14ac:dyDescent="0.3">
      <c r="D393" s="75"/>
    </row>
    <row r="394" spans="4:4" x14ac:dyDescent="0.3">
      <c r="D394" s="75"/>
    </row>
    <row r="395" spans="4:4" x14ac:dyDescent="0.3">
      <c r="D395" s="75"/>
    </row>
    <row r="396" spans="4:4" x14ac:dyDescent="0.3">
      <c r="D396" s="75"/>
    </row>
    <row r="397" spans="4:4" x14ac:dyDescent="0.3">
      <c r="D397" s="75"/>
    </row>
    <row r="398" spans="4:4" x14ac:dyDescent="0.3">
      <c r="D398" s="75"/>
    </row>
    <row r="399" spans="4:4" x14ac:dyDescent="0.3">
      <c r="D399" s="75"/>
    </row>
    <row r="400" spans="4:4" x14ac:dyDescent="0.3">
      <c r="D400" s="75"/>
    </row>
    <row r="401" spans="4:4" x14ac:dyDescent="0.3">
      <c r="D401" s="75"/>
    </row>
    <row r="402" spans="4:4" x14ac:dyDescent="0.3">
      <c r="D402" s="75"/>
    </row>
    <row r="403" spans="4:4" x14ac:dyDescent="0.3">
      <c r="D403" s="75"/>
    </row>
    <row r="404" spans="4:4" x14ac:dyDescent="0.3">
      <c r="D404" s="75"/>
    </row>
    <row r="405" spans="4:4" x14ac:dyDescent="0.3">
      <c r="D405" s="75"/>
    </row>
    <row r="406" spans="4:4" x14ac:dyDescent="0.3">
      <c r="D406" s="75"/>
    </row>
    <row r="407" spans="4:4" x14ac:dyDescent="0.3">
      <c r="D407" s="75"/>
    </row>
    <row r="408" spans="4:4" x14ac:dyDescent="0.3">
      <c r="D408" s="75"/>
    </row>
    <row r="409" spans="4:4" x14ac:dyDescent="0.3">
      <c r="D409" s="75"/>
    </row>
    <row r="410" spans="4:4" x14ac:dyDescent="0.3">
      <c r="D410" s="75"/>
    </row>
    <row r="411" spans="4:4" x14ac:dyDescent="0.3">
      <c r="D411" s="75"/>
    </row>
    <row r="412" spans="4:4" x14ac:dyDescent="0.3">
      <c r="D412" s="75"/>
    </row>
    <row r="413" spans="4:4" x14ac:dyDescent="0.3">
      <c r="D413" s="75"/>
    </row>
    <row r="414" spans="4:4" x14ac:dyDescent="0.3">
      <c r="D414" s="75"/>
    </row>
    <row r="415" spans="4:4" x14ac:dyDescent="0.3">
      <c r="D415" s="75"/>
    </row>
    <row r="416" spans="4:4" x14ac:dyDescent="0.3">
      <c r="D416" s="75"/>
    </row>
    <row r="417" spans="4:4" x14ac:dyDescent="0.3">
      <c r="D417" s="75"/>
    </row>
    <row r="418" spans="4:4" x14ac:dyDescent="0.3">
      <c r="D418" s="75"/>
    </row>
    <row r="419" spans="4:4" x14ac:dyDescent="0.3">
      <c r="D419" s="75"/>
    </row>
    <row r="420" spans="4:4" x14ac:dyDescent="0.3">
      <c r="D420" s="75"/>
    </row>
    <row r="421" spans="4:4" x14ac:dyDescent="0.3">
      <c r="D421" s="75"/>
    </row>
    <row r="422" spans="4:4" x14ac:dyDescent="0.3">
      <c r="D422" s="75"/>
    </row>
    <row r="423" spans="4:4" x14ac:dyDescent="0.3">
      <c r="D423" s="75"/>
    </row>
    <row r="424" spans="4:4" x14ac:dyDescent="0.3">
      <c r="D424" s="75"/>
    </row>
    <row r="425" spans="4:4" x14ac:dyDescent="0.3">
      <c r="D425" s="75"/>
    </row>
    <row r="426" spans="4:4" x14ac:dyDescent="0.3">
      <c r="D426" s="75"/>
    </row>
    <row r="427" spans="4:4" x14ac:dyDescent="0.3">
      <c r="D427" s="75"/>
    </row>
    <row r="428" spans="4:4" x14ac:dyDescent="0.3">
      <c r="D428" s="75"/>
    </row>
    <row r="429" spans="4:4" x14ac:dyDescent="0.3">
      <c r="D429" s="75"/>
    </row>
    <row r="430" spans="4:4" x14ac:dyDescent="0.3">
      <c r="D430" s="75"/>
    </row>
    <row r="431" spans="4:4" x14ac:dyDescent="0.3">
      <c r="D431" s="75"/>
    </row>
    <row r="432" spans="4:4" x14ac:dyDescent="0.3">
      <c r="D432" s="75"/>
    </row>
    <row r="433" spans="4:4" x14ac:dyDescent="0.3">
      <c r="D433" s="75"/>
    </row>
    <row r="434" spans="4:4" x14ac:dyDescent="0.3">
      <c r="D434" s="75"/>
    </row>
    <row r="435" spans="4:4" x14ac:dyDescent="0.3">
      <c r="D435" s="75"/>
    </row>
    <row r="436" spans="4:4" x14ac:dyDescent="0.3">
      <c r="D436" s="75"/>
    </row>
    <row r="437" spans="4:4" x14ac:dyDescent="0.3">
      <c r="D437" s="75"/>
    </row>
    <row r="438" spans="4:4" x14ac:dyDescent="0.3">
      <c r="D438" s="75"/>
    </row>
    <row r="439" spans="4:4" x14ac:dyDescent="0.3">
      <c r="D439" s="75"/>
    </row>
    <row r="440" spans="4:4" x14ac:dyDescent="0.3">
      <c r="D440" s="75"/>
    </row>
    <row r="441" spans="4:4" x14ac:dyDescent="0.3">
      <c r="D441" s="75"/>
    </row>
    <row r="442" spans="4:4" x14ac:dyDescent="0.3">
      <c r="D442" s="75"/>
    </row>
    <row r="443" spans="4:4" x14ac:dyDescent="0.3">
      <c r="D443" s="75"/>
    </row>
    <row r="444" spans="4:4" x14ac:dyDescent="0.3">
      <c r="D444" s="75"/>
    </row>
    <row r="445" spans="4:4" x14ac:dyDescent="0.3">
      <c r="D445" s="75"/>
    </row>
    <row r="446" spans="4:4" x14ac:dyDescent="0.3">
      <c r="D446" s="75"/>
    </row>
    <row r="447" spans="4:4" x14ac:dyDescent="0.3">
      <c r="D447" s="75"/>
    </row>
    <row r="448" spans="4:4" x14ac:dyDescent="0.3">
      <c r="D448" s="75"/>
    </row>
    <row r="449" spans="4:4" x14ac:dyDescent="0.3">
      <c r="D449" s="75"/>
    </row>
    <row r="450" spans="4:4" x14ac:dyDescent="0.3">
      <c r="D450" s="75"/>
    </row>
    <row r="451" spans="4:4" x14ac:dyDescent="0.3">
      <c r="D451" s="75"/>
    </row>
    <row r="452" spans="4:4" x14ac:dyDescent="0.3">
      <c r="D452" s="75"/>
    </row>
    <row r="453" spans="4:4" x14ac:dyDescent="0.3">
      <c r="D453" s="75"/>
    </row>
    <row r="454" spans="4:4" x14ac:dyDescent="0.3">
      <c r="D454" s="75"/>
    </row>
    <row r="455" spans="4:4" x14ac:dyDescent="0.3">
      <c r="D455" s="75"/>
    </row>
    <row r="456" spans="4:4" x14ac:dyDescent="0.3">
      <c r="D456" s="75"/>
    </row>
    <row r="457" spans="4:4" x14ac:dyDescent="0.3">
      <c r="D457" s="75"/>
    </row>
    <row r="458" spans="4:4" x14ac:dyDescent="0.3">
      <c r="D458" s="75"/>
    </row>
    <row r="459" spans="4:4" x14ac:dyDescent="0.3">
      <c r="D459" s="75"/>
    </row>
    <row r="460" spans="4:4" x14ac:dyDescent="0.3">
      <c r="D460" s="75"/>
    </row>
    <row r="461" spans="4:4" x14ac:dyDescent="0.3">
      <c r="D461" s="75"/>
    </row>
    <row r="462" spans="4:4" x14ac:dyDescent="0.3">
      <c r="D462" s="75"/>
    </row>
    <row r="463" spans="4:4" x14ac:dyDescent="0.3">
      <c r="D463" s="75"/>
    </row>
    <row r="464" spans="4:4" x14ac:dyDescent="0.3">
      <c r="D464" s="75"/>
    </row>
    <row r="465" spans="4:4" x14ac:dyDescent="0.3">
      <c r="D465" s="75"/>
    </row>
    <row r="466" spans="4:4" x14ac:dyDescent="0.3">
      <c r="D466" s="75"/>
    </row>
    <row r="467" spans="4:4" x14ac:dyDescent="0.3">
      <c r="D467" s="75"/>
    </row>
    <row r="468" spans="4:4" x14ac:dyDescent="0.3">
      <c r="D468" s="75"/>
    </row>
    <row r="469" spans="4:4" x14ac:dyDescent="0.3">
      <c r="D469" s="75"/>
    </row>
    <row r="470" spans="4:4" x14ac:dyDescent="0.3">
      <c r="D470" s="75"/>
    </row>
    <row r="471" spans="4:4" x14ac:dyDescent="0.3">
      <c r="D471" s="75"/>
    </row>
    <row r="472" spans="4:4" x14ac:dyDescent="0.3">
      <c r="D472" s="75"/>
    </row>
    <row r="473" spans="4:4" x14ac:dyDescent="0.3">
      <c r="D473" s="75"/>
    </row>
    <row r="474" spans="4:4" x14ac:dyDescent="0.3">
      <c r="D474" s="75"/>
    </row>
    <row r="475" spans="4:4" x14ac:dyDescent="0.3">
      <c r="D475" s="75"/>
    </row>
    <row r="476" spans="4:4" x14ac:dyDescent="0.3">
      <c r="D476" s="75"/>
    </row>
    <row r="477" spans="4:4" x14ac:dyDescent="0.3">
      <c r="D477" s="75"/>
    </row>
    <row r="478" spans="4:4" x14ac:dyDescent="0.3">
      <c r="D478" s="75"/>
    </row>
    <row r="479" spans="4:4" x14ac:dyDescent="0.3">
      <c r="D479" s="75"/>
    </row>
    <row r="480" spans="4:4" x14ac:dyDescent="0.3">
      <c r="D480" s="75"/>
    </row>
    <row r="481" spans="4:4" x14ac:dyDescent="0.3">
      <c r="D481" s="75"/>
    </row>
    <row r="482" spans="4:4" x14ac:dyDescent="0.3">
      <c r="D482" s="75"/>
    </row>
    <row r="483" spans="4:4" x14ac:dyDescent="0.3">
      <c r="D483" s="75"/>
    </row>
    <row r="484" spans="4:4" x14ac:dyDescent="0.3">
      <c r="D484" s="75"/>
    </row>
    <row r="485" spans="4:4" x14ac:dyDescent="0.3">
      <c r="D485" s="75"/>
    </row>
    <row r="486" spans="4:4" x14ac:dyDescent="0.3">
      <c r="D486" s="75"/>
    </row>
    <row r="487" spans="4:4" x14ac:dyDescent="0.3">
      <c r="D487" s="75"/>
    </row>
    <row r="488" spans="4:4" x14ac:dyDescent="0.3">
      <c r="D488" s="75"/>
    </row>
    <row r="489" spans="4:4" x14ac:dyDescent="0.3">
      <c r="D489" s="75"/>
    </row>
    <row r="490" spans="4:4" x14ac:dyDescent="0.3">
      <c r="D490" s="75"/>
    </row>
    <row r="491" spans="4:4" x14ac:dyDescent="0.3">
      <c r="D491" s="75"/>
    </row>
    <row r="492" spans="4:4" x14ac:dyDescent="0.3">
      <c r="D492" s="75"/>
    </row>
    <row r="493" spans="4:4" x14ac:dyDescent="0.3">
      <c r="D493" s="75"/>
    </row>
    <row r="494" spans="4:4" x14ac:dyDescent="0.3">
      <c r="D494" s="75"/>
    </row>
    <row r="495" spans="4:4" x14ac:dyDescent="0.3">
      <c r="D495" s="75"/>
    </row>
    <row r="496" spans="4:4" x14ac:dyDescent="0.3">
      <c r="D496" s="75"/>
    </row>
    <row r="497" spans="4:4" x14ac:dyDescent="0.3">
      <c r="D497" s="75"/>
    </row>
    <row r="498" spans="4:4" x14ac:dyDescent="0.3">
      <c r="D498" s="75"/>
    </row>
    <row r="499" spans="4:4" x14ac:dyDescent="0.3">
      <c r="D499" s="75"/>
    </row>
    <row r="500" spans="4:4" x14ac:dyDescent="0.3">
      <c r="D500" s="75"/>
    </row>
    <row r="501" spans="4:4" x14ac:dyDescent="0.3">
      <c r="D501" s="75"/>
    </row>
    <row r="502" spans="4:4" x14ac:dyDescent="0.3">
      <c r="D502" s="75"/>
    </row>
    <row r="503" spans="4:4" x14ac:dyDescent="0.3">
      <c r="D503" s="75"/>
    </row>
    <row r="504" spans="4:4" x14ac:dyDescent="0.3">
      <c r="D504" s="75"/>
    </row>
    <row r="505" spans="4:4" x14ac:dyDescent="0.3">
      <c r="D505" s="75"/>
    </row>
    <row r="506" spans="4:4" x14ac:dyDescent="0.3">
      <c r="D506" s="75"/>
    </row>
    <row r="507" spans="4:4" x14ac:dyDescent="0.3">
      <c r="D507" s="75"/>
    </row>
    <row r="508" spans="4:4" x14ac:dyDescent="0.3">
      <c r="D508" s="75"/>
    </row>
    <row r="509" spans="4:4" x14ac:dyDescent="0.3">
      <c r="D509" s="75"/>
    </row>
    <row r="510" spans="4:4" x14ac:dyDescent="0.3">
      <c r="D510" s="75"/>
    </row>
    <row r="511" spans="4:4" x14ac:dyDescent="0.3">
      <c r="D511" s="75"/>
    </row>
    <row r="512" spans="4:4" x14ac:dyDescent="0.3">
      <c r="D512" s="75"/>
    </row>
    <row r="513" spans="4:4" x14ac:dyDescent="0.3">
      <c r="D513" s="75"/>
    </row>
    <row r="514" spans="4:4" x14ac:dyDescent="0.3">
      <c r="D514" s="75"/>
    </row>
    <row r="515" spans="4:4" x14ac:dyDescent="0.3">
      <c r="D515" s="75"/>
    </row>
    <row r="516" spans="4:4" x14ac:dyDescent="0.3">
      <c r="D516" s="75"/>
    </row>
    <row r="517" spans="4:4" x14ac:dyDescent="0.3">
      <c r="D517" s="75"/>
    </row>
    <row r="518" spans="4:4" x14ac:dyDescent="0.3">
      <c r="D518" s="75"/>
    </row>
    <row r="519" spans="4:4" x14ac:dyDescent="0.3">
      <c r="D519" s="75"/>
    </row>
    <row r="520" spans="4:4" x14ac:dyDescent="0.3">
      <c r="D520" s="75"/>
    </row>
    <row r="521" spans="4:4" x14ac:dyDescent="0.3">
      <c r="D521" s="75"/>
    </row>
    <row r="522" spans="4:4" x14ac:dyDescent="0.3">
      <c r="D522" s="75"/>
    </row>
    <row r="523" spans="4:4" x14ac:dyDescent="0.3">
      <c r="D523" s="75"/>
    </row>
    <row r="524" spans="4:4" x14ac:dyDescent="0.3">
      <c r="D524" s="75"/>
    </row>
    <row r="525" spans="4:4" x14ac:dyDescent="0.3">
      <c r="D525" s="75"/>
    </row>
    <row r="526" spans="4:4" x14ac:dyDescent="0.3">
      <c r="D526" s="75"/>
    </row>
    <row r="527" spans="4:4" x14ac:dyDescent="0.3">
      <c r="D527" s="75"/>
    </row>
    <row r="528" spans="4:4" x14ac:dyDescent="0.3">
      <c r="D528" s="75"/>
    </row>
    <row r="529" spans="4:4" x14ac:dyDescent="0.3">
      <c r="D529" s="75"/>
    </row>
    <row r="530" spans="4:4" x14ac:dyDescent="0.3">
      <c r="D530" s="75"/>
    </row>
    <row r="531" spans="4:4" x14ac:dyDescent="0.3">
      <c r="D531" s="75"/>
    </row>
    <row r="532" spans="4:4" x14ac:dyDescent="0.3">
      <c r="D532" s="75"/>
    </row>
    <row r="533" spans="4:4" x14ac:dyDescent="0.3">
      <c r="D533" s="75"/>
    </row>
    <row r="534" spans="4:4" x14ac:dyDescent="0.3">
      <c r="D534" s="75"/>
    </row>
    <row r="535" spans="4:4" x14ac:dyDescent="0.3">
      <c r="D535" s="75"/>
    </row>
    <row r="536" spans="4:4" x14ac:dyDescent="0.3">
      <c r="D536" s="75"/>
    </row>
    <row r="537" spans="4:4" x14ac:dyDescent="0.3">
      <c r="D537" s="75"/>
    </row>
    <row r="538" spans="4:4" x14ac:dyDescent="0.3">
      <c r="D538" s="75"/>
    </row>
    <row r="539" spans="4:4" x14ac:dyDescent="0.3">
      <c r="D539" s="75"/>
    </row>
    <row r="540" spans="4:4" x14ac:dyDescent="0.3">
      <c r="D540" s="75"/>
    </row>
    <row r="541" spans="4:4" x14ac:dyDescent="0.3">
      <c r="D541" s="75"/>
    </row>
    <row r="542" spans="4:4" x14ac:dyDescent="0.3">
      <c r="D542" s="75"/>
    </row>
    <row r="543" spans="4:4" x14ac:dyDescent="0.3">
      <c r="D543" s="75"/>
    </row>
    <row r="544" spans="4:4" x14ac:dyDescent="0.3">
      <c r="D544" s="75"/>
    </row>
    <row r="545" spans="4:4" x14ac:dyDescent="0.3">
      <c r="D545" s="75"/>
    </row>
    <row r="546" spans="4:4" x14ac:dyDescent="0.3">
      <c r="D546" s="75"/>
    </row>
    <row r="547" spans="4:4" x14ac:dyDescent="0.3">
      <c r="D547" s="75"/>
    </row>
    <row r="548" spans="4:4" x14ac:dyDescent="0.3">
      <c r="D548" s="75"/>
    </row>
    <row r="549" spans="4:4" x14ac:dyDescent="0.3">
      <c r="D549" s="75"/>
    </row>
    <row r="550" spans="4:4" x14ac:dyDescent="0.3">
      <c r="D550" s="75"/>
    </row>
    <row r="551" spans="4:4" x14ac:dyDescent="0.3">
      <c r="D551" s="75"/>
    </row>
    <row r="552" spans="4:4" x14ac:dyDescent="0.3">
      <c r="D552" s="75"/>
    </row>
    <row r="553" spans="4:4" x14ac:dyDescent="0.3">
      <c r="D553" s="75"/>
    </row>
    <row r="554" spans="4:4" x14ac:dyDescent="0.3">
      <c r="D554" s="75"/>
    </row>
    <row r="555" spans="4:4" x14ac:dyDescent="0.3">
      <c r="D555" s="75"/>
    </row>
    <row r="556" spans="4:4" x14ac:dyDescent="0.3">
      <c r="D556" s="75"/>
    </row>
    <row r="557" spans="4:4" x14ac:dyDescent="0.3">
      <c r="D557" s="75"/>
    </row>
    <row r="558" spans="4:4" x14ac:dyDescent="0.3">
      <c r="D558" s="75"/>
    </row>
    <row r="559" spans="4:4" x14ac:dyDescent="0.3">
      <c r="D559" s="75"/>
    </row>
    <row r="560" spans="4:4" x14ac:dyDescent="0.3">
      <c r="D560" s="75"/>
    </row>
    <row r="561" spans="4:4" x14ac:dyDescent="0.3">
      <c r="D561" s="75"/>
    </row>
    <row r="562" spans="4:4" x14ac:dyDescent="0.3">
      <c r="D562" s="75"/>
    </row>
    <row r="563" spans="4:4" x14ac:dyDescent="0.3">
      <c r="D563" s="75"/>
    </row>
    <row r="564" spans="4:4" x14ac:dyDescent="0.3">
      <c r="D564" s="75"/>
    </row>
    <row r="565" spans="4:4" x14ac:dyDescent="0.3">
      <c r="D565" s="75"/>
    </row>
    <row r="566" spans="4:4" x14ac:dyDescent="0.3">
      <c r="D566" s="75"/>
    </row>
    <row r="567" spans="4:4" x14ac:dyDescent="0.3">
      <c r="D567" s="75"/>
    </row>
    <row r="568" spans="4:4" x14ac:dyDescent="0.3">
      <c r="D568" s="75"/>
    </row>
    <row r="569" spans="4:4" x14ac:dyDescent="0.3">
      <c r="D569" s="75"/>
    </row>
    <row r="570" spans="4:4" x14ac:dyDescent="0.3">
      <c r="D570" s="75"/>
    </row>
    <row r="571" spans="4:4" x14ac:dyDescent="0.3">
      <c r="D571" s="75"/>
    </row>
    <row r="572" spans="4:4" x14ac:dyDescent="0.3">
      <c r="D572" s="75"/>
    </row>
    <row r="573" spans="4:4" x14ac:dyDescent="0.3">
      <c r="D573" s="75"/>
    </row>
    <row r="574" spans="4:4" x14ac:dyDescent="0.3">
      <c r="D574" s="75"/>
    </row>
    <row r="575" spans="4:4" x14ac:dyDescent="0.3">
      <c r="D575" s="75"/>
    </row>
    <row r="576" spans="4:4" x14ac:dyDescent="0.3">
      <c r="D576" s="75"/>
    </row>
    <row r="577" spans="4:4" x14ac:dyDescent="0.3">
      <c r="D577" s="75"/>
    </row>
    <row r="578" spans="4:4" x14ac:dyDescent="0.3">
      <c r="D578" s="75"/>
    </row>
    <row r="579" spans="4:4" x14ac:dyDescent="0.3">
      <c r="D579" s="75"/>
    </row>
    <row r="580" spans="4:4" x14ac:dyDescent="0.3">
      <c r="D580" s="75"/>
    </row>
    <row r="581" spans="4:4" x14ac:dyDescent="0.3">
      <c r="D581" s="75"/>
    </row>
    <row r="582" spans="4:4" x14ac:dyDescent="0.3">
      <c r="D582" s="75"/>
    </row>
    <row r="583" spans="4:4" x14ac:dyDescent="0.3">
      <c r="D583" s="75"/>
    </row>
    <row r="584" spans="4:4" x14ac:dyDescent="0.3">
      <c r="D584" s="75"/>
    </row>
    <row r="585" spans="4:4" x14ac:dyDescent="0.3">
      <c r="D585" s="75"/>
    </row>
    <row r="586" spans="4:4" x14ac:dyDescent="0.3">
      <c r="D586" s="75"/>
    </row>
    <row r="587" spans="4:4" x14ac:dyDescent="0.3">
      <c r="D587" s="75"/>
    </row>
    <row r="588" spans="4:4" x14ac:dyDescent="0.3">
      <c r="D588" s="75"/>
    </row>
    <row r="589" spans="4:4" x14ac:dyDescent="0.3">
      <c r="D589" s="75"/>
    </row>
    <row r="590" spans="4:4" x14ac:dyDescent="0.3">
      <c r="D590" s="75"/>
    </row>
    <row r="591" spans="4:4" x14ac:dyDescent="0.3">
      <c r="D591" s="75"/>
    </row>
    <row r="592" spans="4:4" x14ac:dyDescent="0.3">
      <c r="D592" s="75"/>
    </row>
    <row r="593" spans="4:4" x14ac:dyDescent="0.3">
      <c r="D593" s="75"/>
    </row>
    <row r="594" spans="4:4" x14ac:dyDescent="0.3">
      <c r="D594" s="75"/>
    </row>
    <row r="595" spans="4:4" x14ac:dyDescent="0.3">
      <c r="D595" s="75"/>
    </row>
    <row r="596" spans="4:4" x14ac:dyDescent="0.3">
      <c r="D596" s="75"/>
    </row>
    <row r="597" spans="4:4" x14ac:dyDescent="0.3">
      <c r="D597" s="75"/>
    </row>
    <row r="598" spans="4:4" x14ac:dyDescent="0.3">
      <c r="D598" s="75"/>
    </row>
    <row r="599" spans="4:4" x14ac:dyDescent="0.3">
      <c r="D599" s="75"/>
    </row>
    <row r="600" spans="4:4" x14ac:dyDescent="0.3">
      <c r="D600" s="75"/>
    </row>
    <row r="601" spans="4:4" x14ac:dyDescent="0.3">
      <c r="D601" s="75"/>
    </row>
    <row r="602" spans="4:4" x14ac:dyDescent="0.3">
      <c r="D602" s="75"/>
    </row>
    <row r="603" spans="4:4" x14ac:dyDescent="0.3">
      <c r="D603" s="75"/>
    </row>
    <row r="604" spans="4:4" x14ac:dyDescent="0.3">
      <c r="D604" s="75"/>
    </row>
    <row r="605" spans="4:4" x14ac:dyDescent="0.3">
      <c r="D605" s="75"/>
    </row>
    <row r="606" spans="4:4" x14ac:dyDescent="0.3">
      <c r="D606" s="75"/>
    </row>
    <row r="607" spans="4:4" x14ac:dyDescent="0.3">
      <c r="D607" s="75"/>
    </row>
    <row r="608" spans="4:4" x14ac:dyDescent="0.3">
      <c r="D608" s="75"/>
    </row>
    <row r="609" spans="4:4" x14ac:dyDescent="0.3">
      <c r="D609" s="75"/>
    </row>
    <row r="610" spans="4:4" x14ac:dyDescent="0.3">
      <c r="D610" s="75"/>
    </row>
    <row r="611" spans="4:4" x14ac:dyDescent="0.3">
      <c r="D611" s="75"/>
    </row>
    <row r="612" spans="4:4" x14ac:dyDescent="0.3">
      <c r="D612" s="75"/>
    </row>
    <row r="613" spans="4:4" x14ac:dyDescent="0.3">
      <c r="D613" s="75"/>
    </row>
    <row r="614" spans="4:4" x14ac:dyDescent="0.3">
      <c r="D614" s="75"/>
    </row>
    <row r="615" spans="4:4" x14ac:dyDescent="0.3">
      <c r="D615" s="75"/>
    </row>
    <row r="616" spans="4:4" x14ac:dyDescent="0.3">
      <c r="D616" s="75"/>
    </row>
    <row r="617" spans="4:4" x14ac:dyDescent="0.3">
      <c r="D617" s="75"/>
    </row>
    <row r="618" spans="4:4" x14ac:dyDescent="0.3">
      <c r="D618" s="75"/>
    </row>
    <row r="619" spans="4:4" x14ac:dyDescent="0.3">
      <c r="D619" s="75"/>
    </row>
    <row r="620" spans="4:4" x14ac:dyDescent="0.3">
      <c r="D620" s="75"/>
    </row>
    <row r="621" spans="4:4" x14ac:dyDescent="0.3">
      <c r="D621" s="75"/>
    </row>
  </sheetData>
  <mergeCells count="6">
    <mergeCell ref="H1:I1"/>
    <mergeCell ref="J1:K1"/>
    <mergeCell ref="L1:O1"/>
    <mergeCell ref="P1:Y1"/>
    <mergeCell ref="A1:C1"/>
    <mergeCell ref="D1:G1"/>
  </mergeCells>
  <phoneticPr fontId="6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AK20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7" sqref="A27"/>
    </sheetView>
  </sheetViews>
  <sheetFormatPr defaultColWidth="8.8984375" defaultRowHeight="14.4" x14ac:dyDescent="0.3"/>
  <cols>
    <col min="1" max="1" width="31" style="70" customWidth="1"/>
    <col min="2" max="2" width="25" style="70" customWidth="1"/>
    <col min="3" max="3" width="3.69921875" style="72" bestFit="1" customWidth="1"/>
    <col min="4" max="4" width="9.19921875" style="70" customWidth="1"/>
    <col min="5" max="5" width="20.3984375" style="89" customWidth="1"/>
    <col min="6" max="6" width="18.8984375" style="70" customWidth="1"/>
    <col min="7" max="7" width="14.09765625" style="35" customWidth="1"/>
    <col min="8" max="8" width="19.3984375" style="70" customWidth="1"/>
    <col min="9" max="9" width="25.5" style="70" customWidth="1"/>
    <col min="10" max="10" width="14.796875" style="70" customWidth="1"/>
    <col min="11" max="11" width="12.19921875" style="70" customWidth="1"/>
    <col min="12" max="12" width="17" style="70" customWidth="1"/>
    <col min="13" max="13" width="19.3984375" style="70" customWidth="1"/>
    <col min="14" max="14" width="16.296875" style="70" customWidth="1"/>
    <col min="15" max="15" width="10" style="70" customWidth="1"/>
    <col min="16" max="16" width="12.09765625" style="70" customWidth="1"/>
    <col min="17" max="17" width="11.19921875" style="70" customWidth="1"/>
    <col min="18" max="18" width="12.796875" style="70" hidden="1" customWidth="1"/>
    <col min="19" max="19" width="12.69921875" style="70" hidden="1" customWidth="1"/>
    <col min="20" max="20" width="11.8984375" style="70" hidden="1" customWidth="1"/>
    <col min="21" max="21" width="16" style="71" hidden="1" customWidth="1"/>
    <col min="22" max="22" width="9" style="71" hidden="1" customWidth="1"/>
    <col min="23" max="23" width="8.8984375" style="71" hidden="1" customWidth="1"/>
    <col min="24" max="24" width="13" style="71" hidden="1" customWidth="1"/>
    <col min="25" max="25" width="14" style="71" hidden="1" customWidth="1"/>
    <col min="26" max="26" width="11.69921875" style="71" hidden="1" customWidth="1"/>
    <col min="27" max="27" width="0" style="71" hidden="1" customWidth="1"/>
    <col min="28" max="28" width="39.796875" style="71" customWidth="1"/>
    <col min="29" max="16384" width="8.8984375" style="71"/>
  </cols>
  <sheetData>
    <row r="1" spans="1:37" s="36" customFormat="1" x14ac:dyDescent="0.3">
      <c r="A1" s="147" t="s">
        <v>340</v>
      </c>
      <c r="B1" s="148"/>
      <c r="C1" s="148"/>
      <c r="D1" s="148"/>
      <c r="E1" s="148"/>
      <c r="F1" s="148"/>
      <c r="G1" s="149"/>
      <c r="H1" s="150" t="s">
        <v>160</v>
      </c>
      <c r="I1" s="151"/>
      <c r="J1" s="152"/>
      <c r="K1" s="153"/>
      <c r="L1" s="154" t="s">
        <v>161</v>
      </c>
      <c r="M1" s="155"/>
      <c r="N1" s="156"/>
      <c r="O1" s="156"/>
      <c r="P1" s="156"/>
      <c r="Q1" s="156"/>
      <c r="R1" s="157" t="s">
        <v>162</v>
      </c>
      <c r="S1" s="158"/>
      <c r="T1" s="158"/>
      <c r="U1" s="158"/>
      <c r="V1" s="158"/>
      <c r="W1" s="158"/>
      <c r="X1" s="158"/>
      <c r="Y1" s="158"/>
      <c r="Z1" s="158"/>
      <c r="AA1" s="158"/>
      <c r="AB1" s="159" t="s">
        <v>418</v>
      </c>
      <c r="AC1" s="159"/>
      <c r="AD1" s="159"/>
      <c r="AE1" s="159"/>
      <c r="AF1" s="159"/>
      <c r="AG1" s="160"/>
      <c r="AH1" s="160"/>
      <c r="AI1" s="160"/>
      <c r="AJ1" s="160"/>
      <c r="AK1" s="160"/>
    </row>
    <row r="2" spans="1:37" s="38" customFormat="1" ht="72" x14ac:dyDescent="0.3">
      <c r="A2" s="30" t="s">
        <v>163</v>
      </c>
      <c r="B2" s="30" t="s">
        <v>164</v>
      </c>
      <c r="C2" s="30" t="s">
        <v>165</v>
      </c>
      <c r="D2" s="31" t="s">
        <v>166</v>
      </c>
      <c r="E2" s="87" t="s">
        <v>167</v>
      </c>
      <c r="F2" s="30" t="s">
        <v>168</v>
      </c>
      <c r="G2" s="30" t="s">
        <v>169</v>
      </c>
      <c r="H2" s="32" t="s">
        <v>170</v>
      </c>
      <c r="I2" s="32" t="s">
        <v>314</v>
      </c>
      <c r="J2" s="32" t="s">
        <v>171</v>
      </c>
      <c r="K2" s="32" t="s">
        <v>172</v>
      </c>
      <c r="L2" s="33" t="s">
        <v>173</v>
      </c>
      <c r="M2" s="33" t="s">
        <v>174</v>
      </c>
      <c r="N2" s="33" t="s">
        <v>175</v>
      </c>
      <c r="O2" s="33" t="s">
        <v>176</v>
      </c>
      <c r="P2" s="33" t="s">
        <v>177</v>
      </c>
      <c r="Q2" s="33" t="s">
        <v>178</v>
      </c>
      <c r="R2" s="34" t="s">
        <v>179</v>
      </c>
      <c r="S2" s="34" t="s">
        <v>180</v>
      </c>
      <c r="T2" s="34" t="s">
        <v>181</v>
      </c>
      <c r="U2" s="34" t="s">
        <v>182</v>
      </c>
      <c r="V2" s="34" t="s">
        <v>183</v>
      </c>
      <c r="W2" s="34" t="s">
        <v>184</v>
      </c>
      <c r="X2" s="34" t="s">
        <v>185</v>
      </c>
      <c r="Y2" s="34" t="s">
        <v>186</v>
      </c>
      <c r="Z2" s="34" t="s">
        <v>187</v>
      </c>
      <c r="AA2" s="34" t="s">
        <v>188</v>
      </c>
      <c r="AB2" s="67" t="s">
        <v>1280</v>
      </c>
      <c r="AC2" s="67" t="s">
        <v>402</v>
      </c>
      <c r="AD2" s="67" t="s">
        <v>403</v>
      </c>
      <c r="AE2" s="67" t="s">
        <v>404</v>
      </c>
      <c r="AF2" s="67" t="s">
        <v>405</v>
      </c>
      <c r="AG2" s="67" t="s">
        <v>406</v>
      </c>
      <c r="AH2" s="67" t="s">
        <v>407</v>
      </c>
      <c r="AI2" s="67" t="s">
        <v>398</v>
      </c>
      <c r="AJ2" s="67" t="s">
        <v>399</v>
      </c>
      <c r="AK2" s="67" t="s">
        <v>400</v>
      </c>
    </row>
    <row r="3" spans="1:37" s="36" customFormat="1" x14ac:dyDescent="0.3">
      <c r="A3" s="99" t="s">
        <v>1331</v>
      </c>
      <c r="B3" s="69" t="s">
        <v>1302</v>
      </c>
      <c r="C3" s="36" t="s">
        <v>1340</v>
      </c>
      <c r="E3" s="88" t="s">
        <v>1303</v>
      </c>
      <c r="F3" s="69" t="s">
        <v>1302</v>
      </c>
      <c r="G3" s="68"/>
      <c r="H3" s="37"/>
      <c r="I3" s="37"/>
      <c r="L3" s="27" t="s">
        <v>1321</v>
      </c>
      <c r="M3" s="99" t="s">
        <v>1335</v>
      </c>
      <c r="N3" s="37"/>
      <c r="O3" s="37"/>
      <c r="P3" s="37"/>
      <c r="Q3" s="37"/>
      <c r="R3" s="37"/>
      <c r="S3" s="37"/>
      <c r="T3" s="37"/>
      <c r="AB3" s="71" t="s">
        <v>1281</v>
      </c>
    </row>
    <row r="4" spans="1:37" s="36" customFormat="1" x14ac:dyDescent="0.3">
      <c r="A4" s="68" t="str">
        <f>A3</f>
        <v>O_CUSTOMER</v>
      </c>
      <c r="B4" s="69" t="s">
        <v>1304</v>
      </c>
      <c r="E4" s="88" t="s">
        <v>1305</v>
      </c>
      <c r="F4" s="69" t="s">
        <v>1304</v>
      </c>
      <c r="G4" s="68"/>
      <c r="H4" s="37"/>
      <c r="L4" s="68" t="str">
        <f t="shared" ref="L4" si="0">L3</f>
        <v>staging</v>
      </c>
      <c r="M4" s="68" t="str">
        <f>M3</f>
        <v>CUSTOMER</v>
      </c>
      <c r="N4" s="37"/>
      <c r="O4" s="37"/>
      <c r="P4" s="37"/>
      <c r="Q4" s="37"/>
      <c r="R4" s="37"/>
      <c r="S4" s="37"/>
      <c r="T4" s="37"/>
      <c r="AB4" s="71" t="s">
        <v>1273</v>
      </c>
    </row>
    <row r="5" spans="1:37" s="36" customFormat="1" x14ac:dyDescent="0.3">
      <c r="A5" s="68" t="str">
        <f t="shared" ref="A5:A15" si="1">A4</f>
        <v>O_CUSTOMER</v>
      </c>
      <c r="B5" s="69" t="s">
        <v>1306</v>
      </c>
      <c r="E5" s="88" t="s">
        <v>1307</v>
      </c>
      <c r="F5" s="69" t="s">
        <v>1306</v>
      </c>
      <c r="G5" s="68"/>
      <c r="H5" s="37"/>
      <c r="I5" s="37"/>
      <c r="L5" s="68" t="str">
        <f t="shared" ref="L5:M20" si="2">L4</f>
        <v>staging</v>
      </c>
      <c r="M5" s="68" t="str">
        <f t="shared" si="2"/>
        <v>CUSTOMER</v>
      </c>
      <c r="N5" s="37"/>
      <c r="O5" s="37"/>
      <c r="P5" s="37"/>
      <c r="Q5" s="37"/>
      <c r="R5" s="37"/>
      <c r="S5" s="37"/>
      <c r="T5" s="37"/>
      <c r="AB5" s="71" t="s">
        <v>1282</v>
      </c>
    </row>
    <row r="6" spans="1:37" s="36" customFormat="1" x14ac:dyDescent="0.3">
      <c r="A6" s="68" t="str">
        <f t="shared" si="1"/>
        <v>O_CUSTOMER</v>
      </c>
      <c r="B6" s="69" t="s">
        <v>1308</v>
      </c>
      <c r="E6" s="88" t="s">
        <v>1309</v>
      </c>
      <c r="F6" s="69" t="s">
        <v>1308</v>
      </c>
      <c r="G6" s="68"/>
      <c r="H6" s="37"/>
      <c r="I6" s="37"/>
      <c r="L6" s="68" t="str">
        <f t="shared" si="2"/>
        <v>staging</v>
      </c>
      <c r="M6" s="68" t="str">
        <f t="shared" si="2"/>
        <v>CUSTOMER</v>
      </c>
      <c r="N6" s="37"/>
      <c r="O6" s="37"/>
      <c r="P6" s="37"/>
      <c r="Q6" s="37"/>
      <c r="R6" s="37"/>
      <c r="S6" s="37"/>
      <c r="T6" s="37"/>
      <c r="AB6" s="71" t="s">
        <v>1283</v>
      </c>
    </row>
    <row r="7" spans="1:37" ht="28.8" x14ac:dyDescent="0.3">
      <c r="A7" s="70" t="str">
        <f t="shared" si="1"/>
        <v>O_CUSTOMER</v>
      </c>
      <c r="B7" s="70" t="s">
        <v>1310</v>
      </c>
      <c r="C7" s="71"/>
      <c r="E7" s="89" t="s">
        <v>1311</v>
      </c>
      <c r="F7" s="69" t="s">
        <v>1310</v>
      </c>
      <c r="I7" s="37" t="str">
        <f>[1]!vtprintf("where {0} = {{END.DT.CHAR}}", [1]!diref())</f>
        <v>where MA.UPDATED_DTM = {{END.DT.CHAR}}</v>
      </c>
      <c r="L7" s="68" t="str">
        <f t="shared" si="2"/>
        <v>staging</v>
      </c>
      <c r="M7" s="68" t="str">
        <f t="shared" si="2"/>
        <v>CUSTOMER</v>
      </c>
      <c r="AB7" s="71" t="s">
        <v>1279</v>
      </c>
    </row>
    <row r="8" spans="1:37" s="102" customFormat="1" x14ac:dyDescent="0.3">
      <c r="A8" s="100" t="s">
        <v>1332</v>
      </c>
      <c r="B8" s="101" t="s">
        <v>1312</v>
      </c>
      <c r="E8" s="136" t="s">
        <v>1744</v>
      </c>
      <c r="F8" s="101" t="s">
        <v>1312</v>
      </c>
      <c r="G8" s="104"/>
      <c r="H8" s="105"/>
      <c r="I8" s="105"/>
      <c r="L8" s="27" t="s">
        <v>1321</v>
      </c>
      <c r="M8" s="100" t="s">
        <v>1343</v>
      </c>
      <c r="N8" s="105"/>
      <c r="O8" s="105"/>
      <c r="P8" s="105"/>
      <c r="Q8" s="105"/>
      <c r="R8" s="105"/>
      <c r="S8" s="105"/>
      <c r="T8" s="105"/>
      <c r="AB8" s="106" t="s">
        <v>1275</v>
      </c>
    </row>
    <row r="9" spans="1:37" s="36" customFormat="1" x14ac:dyDescent="0.3">
      <c r="A9" s="68" t="str">
        <f t="shared" si="1"/>
        <v>O_ORDER_INFO</v>
      </c>
      <c r="B9" s="69" t="s">
        <v>1302</v>
      </c>
      <c r="E9" s="88" t="s">
        <v>1303</v>
      </c>
      <c r="F9" s="69" t="s">
        <v>1302</v>
      </c>
      <c r="G9" s="68"/>
      <c r="H9" s="37"/>
      <c r="I9" s="37"/>
      <c r="L9" s="68" t="str">
        <f t="shared" si="2"/>
        <v>staging</v>
      </c>
      <c r="M9" s="68" t="str">
        <f t="shared" si="2"/>
        <v>ORDER_INFO</v>
      </c>
      <c r="N9" s="37"/>
      <c r="O9" s="37"/>
      <c r="P9" s="37"/>
      <c r="Q9" s="37"/>
      <c r="R9" s="37"/>
      <c r="S9" s="37"/>
      <c r="T9" s="37"/>
      <c r="AB9" s="71" t="s">
        <v>1284</v>
      </c>
    </row>
    <row r="10" spans="1:37" s="36" customFormat="1" ht="28.8" x14ac:dyDescent="0.3">
      <c r="A10" s="68" t="str">
        <f t="shared" si="1"/>
        <v>O_ORDER_INFO</v>
      </c>
      <c r="B10" s="69" t="s">
        <v>1313</v>
      </c>
      <c r="E10" s="88" t="s">
        <v>1311</v>
      </c>
      <c r="F10" s="69" t="s">
        <v>1313</v>
      </c>
      <c r="G10" s="68"/>
      <c r="H10" s="37"/>
      <c r="I10" s="37" t="str">
        <f>[1]!vtprintf("where {0} = {{END.DT.CHAR}}", [1]!diref())</f>
        <v>where MA.CREATE_DTM = {{END.DT.CHAR}}</v>
      </c>
      <c r="L10" s="68" t="str">
        <f t="shared" si="2"/>
        <v>staging</v>
      </c>
      <c r="M10" s="68" t="str">
        <f t="shared" si="2"/>
        <v>ORDER_INFO</v>
      </c>
      <c r="N10" s="37"/>
      <c r="O10" s="37"/>
      <c r="P10" s="37"/>
      <c r="Q10" s="37"/>
      <c r="R10" s="37"/>
      <c r="S10" s="37"/>
      <c r="T10" s="37"/>
      <c r="AB10" s="71" t="s">
        <v>1286</v>
      </c>
    </row>
    <row r="11" spans="1:37" s="102" customFormat="1" x14ac:dyDescent="0.3">
      <c r="A11" s="100" t="s">
        <v>1333</v>
      </c>
      <c r="B11" s="101" t="s">
        <v>1314</v>
      </c>
      <c r="E11" s="103" t="s">
        <v>1742</v>
      </c>
      <c r="F11" s="101" t="s">
        <v>1314</v>
      </c>
      <c r="G11" s="104"/>
      <c r="H11" s="105"/>
      <c r="I11" s="105"/>
      <c r="L11" s="104" t="str">
        <f t="shared" si="2"/>
        <v>staging</v>
      </c>
      <c r="M11" s="100" t="s">
        <v>1342</v>
      </c>
      <c r="N11" s="105"/>
      <c r="O11" s="105"/>
      <c r="P11" s="105"/>
      <c r="Q11" s="105"/>
      <c r="R11" s="105"/>
      <c r="S11" s="105"/>
      <c r="T11" s="105"/>
      <c r="AB11" s="106" t="s">
        <v>1287</v>
      </c>
    </row>
    <row r="12" spans="1:37" s="36" customFormat="1" x14ac:dyDescent="0.3">
      <c r="A12" s="68" t="str">
        <f t="shared" si="1"/>
        <v>O_ORDERLINE</v>
      </c>
      <c r="B12" s="69" t="s">
        <v>1312</v>
      </c>
      <c r="E12" s="88" t="s">
        <v>1742</v>
      </c>
      <c r="F12" s="69" t="s">
        <v>1312</v>
      </c>
      <c r="G12" s="68"/>
      <c r="H12" s="37"/>
      <c r="I12" s="37"/>
      <c r="L12" s="68" t="str">
        <f t="shared" si="2"/>
        <v>staging</v>
      </c>
      <c r="M12" s="68" t="str">
        <f t="shared" si="2"/>
        <v>ORDERLINE</v>
      </c>
      <c r="N12" s="37"/>
      <c r="O12" s="37"/>
      <c r="P12" s="37"/>
      <c r="Q12" s="37"/>
      <c r="R12" s="37"/>
      <c r="S12" s="37"/>
      <c r="T12" s="37"/>
      <c r="AB12" s="71" t="s">
        <v>1288</v>
      </c>
    </row>
    <row r="13" spans="1:37" s="36" customFormat="1" x14ac:dyDescent="0.3">
      <c r="A13" s="68" t="str">
        <f t="shared" si="1"/>
        <v>O_ORDERLINE</v>
      </c>
      <c r="B13" s="69" t="s">
        <v>1315</v>
      </c>
      <c r="E13" s="88" t="s">
        <v>1742</v>
      </c>
      <c r="F13" s="69" t="s">
        <v>1315</v>
      </c>
      <c r="G13" s="68"/>
      <c r="H13" s="37"/>
      <c r="I13" s="37"/>
      <c r="L13" s="68" t="str">
        <f t="shared" si="2"/>
        <v>staging</v>
      </c>
      <c r="M13" s="68" t="str">
        <f t="shared" si="2"/>
        <v>ORDERLINE</v>
      </c>
      <c r="N13" s="37"/>
      <c r="O13" s="37"/>
      <c r="P13" s="37"/>
      <c r="Q13" s="37"/>
      <c r="R13" s="37"/>
      <c r="S13" s="37"/>
      <c r="T13" s="37"/>
      <c r="AB13" s="71" t="s">
        <v>1289</v>
      </c>
    </row>
    <row r="14" spans="1:37" x14ac:dyDescent="0.3">
      <c r="A14" s="68" t="str">
        <f t="shared" si="1"/>
        <v>O_ORDERLINE</v>
      </c>
      <c r="B14" s="70" t="s">
        <v>1316</v>
      </c>
      <c r="C14" s="71"/>
      <c r="E14" s="89" t="s">
        <v>1742</v>
      </c>
      <c r="F14" s="69" t="s">
        <v>1316</v>
      </c>
      <c r="L14" s="68" t="str">
        <f t="shared" si="2"/>
        <v>staging</v>
      </c>
      <c r="M14" s="68" t="str">
        <f t="shared" si="2"/>
        <v>ORDERLINE</v>
      </c>
      <c r="AB14" s="71" t="s">
        <v>1276</v>
      </c>
    </row>
    <row r="15" spans="1:37" x14ac:dyDescent="0.3">
      <c r="A15" s="68" t="str">
        <f t="shared" si="1"/>
        <v>O_ORDERLINE</v>
      </c>
      <c r="B15" s="70" t="s">
        <v>1317</v>
      </c>
      <c r="C15" s="71"/>
      <c r="E15" s="89" t="s">
        <v>1743</v>
      </c>
      <c r="F15" s="69" t="s">
        <v>1317</v>
      </c>
      <c r="L15" s="68" t="str">
        <f t="shared" si="2"/>
        <v>staging</v>
      </c>
      <c r="M15" s="68" t="str">
        <f t="shared" si="2"/>
        <v>ORDERLINE</v>
      </c>
      <c r="AB15" s="71" t="s">
        <v>1277</v>
      </c>
    </row>
    <row r="16" spans="1:37" s="106" customFormat="1" x14ac:dyDescent="0.3">
      <c r="A16" s="107" t="s">
        <v>1334</v>
      </c>
      <c r="B16" s="107" t="s">
        <v>1315</v>
      </c>
      <c r="D16" s="107"/>
      <c r="E16" s="108" t="s">
        <v>1742</v>
      </c>
      <c r="F16" s="101" t="s">
        <v>1315</v>
      </c>
      <c r="G16" s="105"/>
      <c r="H16" s="107"/>
      <c r="I16" s="107"/>
      <c r="J16" s="107"/>
      <c r="K16" s="107"/>
      <c r="L16" s="104" t="str">
        <f t="shared" si="2"/>
        <v>staging</v>
      </c>
      <c r="M16" s="107" t="s">
        <v>1341</v>
      </c>
      <c r="N16" s="107"/>
      <c r="O16" s="107"/>
      <c r="P16" s="107"/>
      <c r="Q16" s="107"/>
      <c r="R16" s="107"/>
      <c r="S16" s="107"/>
      <c r="T16" s="107"/>
      <c r="AB16" s="106" t="s">
        <v>1291</v>
      </c>
    </row>
    <row r="17" spans="1:28" x14ac:dyDescent="0.3">
      <c r="A17" s="70" t="str">
        <f>A16</f>
        <v>O_PRODUCT</v>
      </c>
      <c r="B17" s="70" t="s">
        <v>1318</v>
      </c>
      <c r="C17" s="71"/>
      <c r="E17" s="89" t="s">
        <v>1307</v>
      </c>
      <c r="F17" s="69" t="s">
        <v>1318</v>
      </c>
      <c r="L17" s="68" t="str">
        <f t="shared" si="2"/>
        <v>staging</v>
      </c>
      <c r="M17" s="68" t="str">
        <f t="shared" si="2"/>
        <v>PRODUCT</v>
      </c>
      <c r="AB17" s="71" t="s">
        <v>1278</v>
      </c>
    </row>
    <row r="18" spans="1:28" x14ac:dyDescent="0.3">
      <c r="A18" s="70" t="str">
        <f t="shared" ref="A18:A20" si="3">A17</f>
        <v>O_PRODUCT</v>
      </c>
      <c r="B18" s="70" t="s">
        <v>1319</v>
      </c>
      <c r="C18" s="71"/>
      <c r="E18" s="89" t="s">
        <v>1742</v>
      </c>
      <c r="F18" s="69" t="s">
        <v>1319</v>
      </c>
      <c r="L18" s="68" t="str">
        <f t="shared" si="2"/>
        <v>staging</v>
      </c>
      <c r="M18" s="68" t="str">
        <f t="shared" si="2"/>
        <v>PRODUCT</v>
      </c>
      <c r="AB18" s="71" t="s">
        <v>1292</v>
      </c>
    </row>
    <row r="19" spans="1:28" x14ac:dyDescent="0.3">
      <c r="A19" s="70" t="str">
        <f t="shared" si="3"/>
        <v>O_PRODUCT</v>
      </c>
      <c r="B19" s="70" t="s">
        <v>1320</v>
      </c>
      <c r="C19" s="71"/>
      <c r="E19" s="89" t="s">
        <v>1742</v>
      </c>
      <c r="F19" s="69" t="s">
        <v>1320</v>
      </c>
      <c r="L19" s="68" t="str">
        <f t="shared" si="2"/>
        <v>staging</v>
      </c>
      <c r="M19" s="68" t="str">
        <f t="shared" si="2"/>
        <v>PRODUCT</v>
      </c>
      <c r="AB19" s="71" t="s">
        <v>1293</v>
      </c>
    </row>
    <row r="20" spans="1:28" x14ac:dyDescent="0.3">
      <c r="A20" s="70" t="str">
        <f t="shared" si="3"/>
        <v>O_PRODUCT</v>
      </c>
      <c r="B20" s="70" t="s">
        <v>1310</v>
      </c>
      <c r="C20" s="71"/>
      <c r="E20" s="89" t="s">
        <v>1311</v>
      </c>
      <c r="F20" s="69" t="s">
        <v>1310</v>
      </c>
      <c r="H20" s="70" t="s">
        <v>1750</v>
      </c>
      <c r="L20" s="68" t="str">
        <f t="shared" si="2"/>
        <v>staging</v>
      </c>
      <c r="M20" s="68" t="str">
        <f t="shared" si="2"/>
        <v>PRODUCT</v>
      </c>
      <c r="AB20" s="71" t="s">
        <v>1279</v>
      </c>
    </row>
  </sheetData>
  <dataConsolidate/>
  <mergeCells count="5">
    <mergeCell ref="A1:G1"/>
    <mergeCell ref="H1:K1"/>
    <mergeCell ref="L1:Q1"/>
    <mergeCell ref="R1:AA1"/>
    <mergeCell ref="AB1:AK1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501"/>
  <sheetViews>
    <sheetView zoomScale="85" zoomScaleNormal="85" workbookViewId="0">
      <selection activeCell="F24" sqref="F24"/>
    </sheetView>
  </sheetViews>
  <sheetFormatPr defaultColWidth="8.8984375" defaultRowHeight="14.4" x14ac:dyDescent="0.3"/>
  <cols>
    <col min="1" max="1" width="46.69921875" style="29" customWidth="1"/>
    <col min="2" max="5" width="9.796875" style="29" customWidth="1"/>
    <col min="6" max="6" width="34.8984375" style="29" customWidth="1"/>
    <col min="7" max="7" width="29" style="29" customWidth="1"/>
    <col min="8" max="8" width="32.59765625" style="28" customWidth="1"/>
    <col min="9" max="9" width="22.796875" style="28" customWidth="1"/>
    <col min="10" max="10" width="21.3984375" style="28" customWidth="1"/>
    <col min="11" max="11" width="40.09765625" style="28" customWidth="1"/>
    <col min="12" max="12" width="29.8984375" style="28" customWidth="1"/>
    <col min="13" max="16384" width="8.8984375" style="28"/>
  </cols>
  <sheetData>
    <row r="1" spans="1:12" x14ac:dyDescent="0.3">
      <c r="A1">
        <v>2</v>
      </c>
      <c r="B1" t="s">
        <v>1759</v>
      </c>
      <c r="C1"/>
      <c r="D1"/>
      <c r="E1"/>
      <c r="F1"/>
      <c r="G1"/>
      <c r="H1"/>
      <c r="I1"/>
      <c r="J1"/>
      <c r="K1"/>
      <c r="L1"/>
    </row>
    <row r="2" spans="1:12" x14ac:dyDescent="0.3">
      <c r="A2" t="s">
        <v>1757</v>
      </c>
      <c r="B2"/>
      <c r="C2"/>
      <c r="D2"/>
      <c r="E2"/>
      <c r="F2"/>
      <c r="G2"/>
      <c r="H2"/>
      <c r="I2"/>
      <c r="J2"/>
      <c r="K2"/>
      <c r="L2"/>
    </row>
    <row r="3" spans="1:12" x14ac:dyDescent="0.3">
      <c r="A3" t="s">
        <v>1758</v>
      </c>
      <c r="B3"/>
      <c r="C3"/>
      <c r="D3"/>
      <c r="E3"/>
      <c r="F3"/>
      <c r="G3"/>
      <c r="H3"/>
      <c r="I3"/>
      <c r="J3"/>
      <c r="K3"/>
      <c r="L3"/>
    </row>
    <row r="4" spans="1:12" x14ac:dyDescent="0.3">
      <c r="A4" t="s">
        <v>422</v>
      </c>
      <c r="B4"/>
      <c r="C4"/>
      <c r="D4"/>
      <c r="E4"/>
      <c r="F4"/>
      <c r="G4"/>
      <c r="H4"/>
      <c r="I4"/>
      <c r="J4"/>
      <c r="K4"/>
      <c r="L4"/>
    </row>
    <row r="5" spans="1:12" x14ac:dyDescent="0.3">
      <c r="A5"/>
      <c r="B5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/>
      <c r="I6"/>
      <c r="J6"/>
      <c r="K6"/>
      <c r="L6"/>
    </row>
    <row r="7" spans="1:12" x14ac:dyDescent="0.3">
      <c r="A7"/>
      <c r="B7"/>
      <c r="C7"/>
      <c r="D7"/>
      <c r="E7"/>
      <c r="F7"/>
      <c r="G7"/>
      <c r="H7"/>
      <c r="I7"/>
      <c r="J7"/>
      <c r="K7"/>
      <c r="L7"/>
    </row>
    <row r="8" spans="1:12" x14ac:dyDescent="0.3">
      <c r="A8"/>
      <c r="B8"/>
      <c r="C8"/>
      <c r="D8"/>
      <c r="E8"/>
      <c r="F8"/>
      <c r="G8"/>
      <c r="H8"/>
      <c r="I8"/>
      <c r="J8"/>
      <c r="K8"/>
      <c r="L8"/>
    </row>
    <row r="9" spans="1:12" x14ac:dyDescent="0.3">
      <c r="A9"/>
      <c r="B9"/>
      <c r="C9"/>
      <c r="D9"/>
      <c r="E9"/>
      <c r="F9"/>
      <c r="G9"/>
      <c r="H9"/>
      <c r="I9"/>
      <c r="J9"/>
      <c r="K9"/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/>
      <c r="C11"/>
      <c r="D11"/>
      <c r="E11"/>
      <c r="F11"/>
      <c r="G11"/>
      <c r="H11"/>
      <c r="I11"/>
      <c r="J11"/>
      <c r="K11"/>
      <c r="L11"/>
    </row>
    <row r="12" spans="1:12" x14ac:dyDescent="0.3">
      <c r="A12"/>
      <c r="B12"/>
      <c r="C12"/>
      <c r="D12"/>
      <c r="E12"/>
      <c r="F12"/>
      <c r="G12"/>
      <c r="H12"/>
      <c r="I12"/>
      <c r="J12"/>
      <c r="K12"/>
      <c r="L12"/>
    </row>
    <row r="13" spans="1:12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2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2" x14ac:dyDescent="0.3">
      <c r="A15"/>
      <c r="B15"/>
      <c r="C15"/>
      <c r="D15"/>
      <c r="E15"/>
      <c r="F15"/>
      <c r="G15"/>
      <c r="H15"/>
      <c r="I15"/>
      <c r="J15"/>
      <c r="K15"/>
      <c r="L15"/>
    </row>
    <row r="16" spans="1:12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2" x14ac:dyDescent="0.3">
      <c r="A17"/>
      <c r="B17"/>
      <c r="C17"/>
      <c r="D17"/>
      <c r="E17"/>
      <c r="F17"/>
      <c r="G17"/>
      <c r="H17"/>
      <c r="I17"/>
      <c r="J17"/>
      <c r="K17"/>
      <c r="L17"/>
    </row>
    <row r="18" spans="1:12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/>
      <c r="B19"/>
      <c r="C19"/>
      <c r="D19"/>
      <c r="E19"/>
      <c r="F19"/>
      <c r="G19"/>
      <c r="H19"/>
      <c r="I19"/>
      <c r="J19"/>
      <c r="K19"/>
      <c r="L19"/>
    </row>
    <row r="20" spans="1:12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3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3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3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3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3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3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3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3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3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3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3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3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3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3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3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3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3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3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3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3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3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3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3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3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3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3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3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3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3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3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3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3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3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3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3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3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3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3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3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3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3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3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3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3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3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3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3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3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3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3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3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3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3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3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3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3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3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3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3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3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3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3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3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3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3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3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3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3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3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3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3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3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3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3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3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3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3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3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3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3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3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3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3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3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3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3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3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3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3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3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3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3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3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3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3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3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3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3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3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3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3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3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3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3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3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3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3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3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3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3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3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3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3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3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3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3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3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3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3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3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3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3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3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3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3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3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3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3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3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3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3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3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3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3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3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3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3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3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3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3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3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3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3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3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3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3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3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3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3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3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3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3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3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3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3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3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3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3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3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3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3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3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3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3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3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3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3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3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3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3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3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3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3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3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3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3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3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3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3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3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3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3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3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3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3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3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3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3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3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3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3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3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3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3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3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3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3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3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3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3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3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3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3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3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3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3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3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3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3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3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3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3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3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3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3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3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3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3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3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3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3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3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3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3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3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3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3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3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3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3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3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3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3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3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3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3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3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3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3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3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3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3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3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3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3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3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3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3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3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3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3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3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3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3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3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3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3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3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3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3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3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3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3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3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3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3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3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3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3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3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3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3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3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3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3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3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3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3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3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3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3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3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3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3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3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3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3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3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3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3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3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3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3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3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3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3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3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3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3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3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3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3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3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3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3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3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3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3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3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3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3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3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3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3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3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3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3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3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3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3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3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3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3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3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3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3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3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3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3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3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3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3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3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3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3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3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3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3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3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3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3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3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3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3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3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3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3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3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3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3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3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3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3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3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3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3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3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3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3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3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3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3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3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3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3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3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3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3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3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3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3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3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3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3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3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3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3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3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3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3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3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3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3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3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3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3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3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3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3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3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3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3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3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3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3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3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3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3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3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3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3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3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3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3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3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3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3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3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3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3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3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3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3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3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3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3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3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3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3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3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3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3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3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3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3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3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3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3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3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3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3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3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3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3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3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3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3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3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3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3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3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3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3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3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3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3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3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3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3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3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3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3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3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3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3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3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3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3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3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3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3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3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3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3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3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3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3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3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3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3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3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3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3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3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3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3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3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3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3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3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3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3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3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3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3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3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3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3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3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3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3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3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3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3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3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3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3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3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3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3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3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3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3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3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3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3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3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3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3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3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3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3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3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3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3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3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3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3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3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3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3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3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3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3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3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3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3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3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3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3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3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3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3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3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3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3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3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3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3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3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3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3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3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3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3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3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3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3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3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3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3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3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3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3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3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3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3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3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3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3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3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3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3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3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3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3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3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3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3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3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3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3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3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3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3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3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3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3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3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3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3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3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3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3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3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3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3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3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3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3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3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3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3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3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3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3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3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3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3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3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3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3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3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3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3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3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3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3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3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3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3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3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3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3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3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3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3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3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3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3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3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3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3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3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3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3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3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3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3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3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3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3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3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3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3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3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3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3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3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3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3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3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3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3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3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3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3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3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3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3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3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3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3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3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3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3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3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3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3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3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3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3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3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3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3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3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3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3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3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3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3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3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3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3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3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3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3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3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3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3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3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3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3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3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3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3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3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3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3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3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3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3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3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3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3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3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3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3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3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3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3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3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3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3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3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3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3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3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3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3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3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3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3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3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3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3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3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3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3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3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3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3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3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3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3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3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3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3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3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3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3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3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3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3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3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3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3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3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3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3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3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3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3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3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3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3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3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3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3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3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3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3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3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3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3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3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3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3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3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3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3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3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3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3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3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3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3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3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3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3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3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3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3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3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3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3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3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3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3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3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3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3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3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3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3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3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3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3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3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3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3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3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3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3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3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3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3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3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3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3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3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3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3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3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3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3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3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3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3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3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3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3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3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3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3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3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3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3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3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3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3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3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3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3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3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3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3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3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3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3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3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3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3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3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3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3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3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3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3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3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3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3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3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3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3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3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3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3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3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3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3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3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3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3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3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3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3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3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3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3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3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3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3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3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3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3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3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3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3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3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3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3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3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3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3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3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3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3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3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3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3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3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3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3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3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3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3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3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3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3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3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3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3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3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3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3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3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3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3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3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3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3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3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3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3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3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3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3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3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3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3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3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3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3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3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1"/>
  <sheetViews>
    <sheetView workbookViewId="0">
      <selection activeCell="D30" sqref="D30"/>
    </sheetView>
  </sheetViews>
  <sheetFormatPr defaultColWidth="8.8984375" defaultRowHeight="14.4" x14ac:dyDescent="0.3"/>
  <cols>
    <col min="1" max="1" width="33.59765625" style="27" customWidth="1"/>
    <col min="2" max="2" width="12.59765625" style="27" customWidth="1"/>
    <col min="3" max="3" width="10.296875" style="27" customWidth="1"/>
    <col min="4" max="4" width="35.296875" style="27" customWidth="1"/>
    <col min="5" max="5" width="20.59765625" style="27" customWidth="1"/>
    <col min="6" max="16384" width="8.8984375" style="27"/>
  </cols>
  <sheetData>
    <row r="1" spans="1:5" x14ac:dyDescent="0.3">
      <c r="A1" s="27" t="s">
        <v>218</v>
      </c>
      <c r="B1" s="27" t="s">
        <v>219</v>
      </c>
      <c r="C1" s="27" t="s">
        <v>220</v>
      </c>
      <c r="D1" s="27" t="s">
        <v>221</v>
      </c>
      <c r="E1" s="27" t="s">
        <v>222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984375" defaultRowHeight="14.4" x14ac:dyDescent="0.3"/>
  <cols>
    <col min="1" max="1" width="29.59765625" style="27" customWidth="1"/>
    <col min="2" max="6" width="11.3984375" style="27" customWidth="1"/>
    <col min="7" max="7" width="8.8984375" style="27" customWidth="1"/>
    <col min="8" max="8" width="13.8984375" style="27" customWidth="1"/>
    <col min="9" max="9" width="11.3984375" style="27" customWidth="1"/>
    <col min="10" max="10" width="16.59765625" style="27" customWidth="1"/>
    <col min="11" max="16384" width="8.8984375" style="27"/>
  </cols>
  <sheetData>
    <row r="1" spans="1:10" ht="15" x14ac:dyDescent="0.3">
      <c r="A1" s="39" t="s">
        <v>208</v>
      </c>
      <c r="B1" s="40" t="s">
        <v>209</v>
      </c>
      <c r="C1" s="40" t="s">
        <v>210</v>
      </c>
      <c r="D1" s="40" t="s">
        <v>211</v>
      </c>
      <c r="E1" s="40" t="s">
        <v>212</v>
      </c>
      <c r="F1" s="40" t="s">
        <v>213</v>
      </c>
      <c r="G1" s="40" t="s">
        <v>214</v>
      </c>
      <c r="H1" s="40" t="s">
        <v>215</v>
      </c>
      <c r="I1" s="40" t="s">
        <v>216</v>
      </c>
      <c r="J1" s="40" t="s">
        <v>217</v>
      </c>
    </row>
    <row r="2" spans="1:10" ht="15.6" x14ac:dyDescent="0.3">
      <c r="A2" s="41"/>
    </row>
    <row r="3" spans="1:10" ht="15.6" x14ac:dyDescent="0.3">
      <c r="A3" s="41"/>
    </row>
    <row r="4" spans="1:10" ht="15.6" x14ac:dyDescent="0.3">
      <c r="A4" s="41"/>
    </row>
    <row r="5" spans="1:10" ht="15.6" x14ac:dyDescent="0.3">
      <c r="A5" s="41"/>
    </row>
    <row r="6" spans="1:10" ht="15.6" x14ac:dyDescent="0.3">
      <c r="A6" s="41"/>
    </row>
    <row r="7" spans="1:10" ht="15.6" x14ac:dyDescent="0.3">
      <c r="A7" s="41"/>
    </row>
    <row r="8" spans="1:10" ht="15.6" x14ac:dyDescent="0.3">
      <c r="A8" s="41"/>
    </row>
    <row r="9" spans="1:10" ht="15.6" x14ac:dyDescent="0.3">
      <c r="A9" s="41"/>
    </row>
    <row r="10" spans="1:10" ht="15.6" x14ac:dyDescent="0.3">
      <c r="A10" s="41"/>
    </row>
    <row r="11" spans="1:10" ht="15.6" x14ac:dyDescent="0.3">
      <c r="A11" s="41"/>
    </row>
    <row r="12" spans="1:10" ht="15.6" x14ac:dyDescent="0.3">
      <c r="A12" s="41"/>
    </row>
    <row r="13" spans="1:10" ht="15.6" x14ac:dyDescent="0.3">
      <c r="A13" s="41"/>
    </row>
    <row r="14" spans="1:10" ht="15.6" x14ac:dyDescent="0.3">
      <c r="A14" s="41"/>
    </row>
    <row r="15" spans="1:10" ht="15.6" x14ac:dyDescent="0.3">
      <c r="A15" s="4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macro使用說明</vt:lpstr>
      <vt:lpstr>TblList</vt:lpstr>
      <vt:lpstr>Parameter Setting</vt:lpstr>
      <vt:lpstr>Table Summary</vt:lpstr>
      <vt:lpstr>DATAMAPPING</vt:lpstr>
      <vt:lpstr>Log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creator>ADMINIBM</dc:creator>
  <cp:keywords>sqlg;DW</cp:keywords>
  <cp:lastModifiedBy>JESSE WEI</cp:lastModifiedBy>
  <dcterms:created xsi:type="dcterms:W3CDTF">2015-01-09T02:07:51Z</dcterms:created>
  <dcterms:modified xsi:type="dcterms:W3CDTF">2018-08-12T10:07:25Z</dcterms:modified>
</cp:coreProperties>
</file>